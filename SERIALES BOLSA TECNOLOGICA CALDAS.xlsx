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OLSA TECNOLOGICA CPE\DATOS COMPARAR\"/>
    </mc:Choice>
  </mc:AlternateContent>
  <xr:revisionPtr revIDLastSave="0" documentId="13_ncr:1_{D9699484-55EB-44C0-B119-BDE41CEA792A}" xr6:coauthVersionLast="47" xr6:coauthVersionMax="47" xr10:uidLastSave="{00000000-0000-0000-0000-000000000000}"/>
  <bookViews>
    <workbookView xWindow="-110" yWindow="-110" windowWidth="19420" windowHeight="10300" tabRatio="879" xr2:uid="{00000000-000D-0000-FFFF-FFFF00000000}"/>
  </bookViews>
  <sheets>
    <sheet name="ESTUDIANTES BENEFICIADOS" sheetId="4" r:id="rId1"/>
    <sheet name="PORTATIL ESTUDIANTES" sheetId="1" r:id="rId2"/>
    <sheet name="TABLETAS ESTUDIANTES" sheetId="2" r:id="rId3"/>
    <sheet name="BOLSA TECNOLOGICA" sheetId="3" r:id="rId4"/>
  </sheets>
  <definedNames>
    <definedName name="_xlnm._FilterDatabase" localSheetId="3" hidden="1">'BOLSA TECNOLOGICA'!$A$1:$K$368</definedName>
    <definedName name="_xlnm._FilterDatabase" localSheetId="0" hidden="1">'ESTUDIANTES BENEFICIADOS'!$A$1:$AF$88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8" i="4" l="1" a="1"/>
  <c r="AG87" i="4" a="1"/>
  <c r="AG86" i="4" a="1"/>
  <c r="AG85" i="4" a="1"/>
  <c r="AG84" i="4" a="1"/>
  <c r="AG83" i="4" a="1"/>
  <c r="AG82" i="4" a="1"/>
  <c r="AG81" i="4" a="1"/>
  <c r="AG80" i="4" a="1"/>
  <c r="AG79" i="4" a="1"/>
  <c r="AG78" i="4" a="1"/>
  <c r="AG77" i="4" a="1"/>
  <c r="AG76" i="4" a="1"/>
  <c r="AG75" i="4" a="1"/>
  <c r="AG74" i="4" a="1"/>
  <c r="AG73" i="4" a="1"/>
  <c r="AG72" i="4" a="1"/>
  <c r="AG71" i="4" a="1"/>
  <c r="AG70" i="4" a="1"/>
  <c r="AG69" i="4" a="1"/>
  <c r="AG68" i="4" a="1"/>
  <c r="AG67" i="4" a="1"/>
  <c r="AG66" i="4" a="1"/>
  <c r="AG65" i="4" a="1"/>
  <c r="AG64" i="4" a="1"/>
  <c r="AG63" i="4" a="1"/>
  <c r="AG62" i="4" a="1"/>
  <c r="AG61" i="4" a="1"/>
  <c r="AG60" i="4" a="1"/>
  <c r="AG59" i="4" a="1"/>
  <c r="AG58" i="4" a="1"/>
  <c r="AG57" i="4" a="1"/>
  <c r="AG56" i="4" a="1"/>
  <c r="AG55" i="4" a="1"/>
  <c r="AG54" i="4" a="1"/>
  <c r="AG53" i="4" a="1"/>
  <c r="AG52" i="4" a="1"/>
  <c r="AG51" i="4" a="1"/>
  <c r="AG50" i="4" a="1"/>
  <c r="AG49" i="4" a="1"/>
  <c r="AG48" i="4" a="1"/>
  <c r="AG47" i="4" a="1"/>
  <c r="AG46" i="4" a="1"/>
  <c r="AG45" i="4" a="1"/>
  <c r="AG44" i="4" a="1"/>
  <c r="AG43" i="4" a="1"/>
  <c r="AG42" i="4" a="1"/>
  <c r="AG41" i="4" a="1"/>
  <c r="AG40" i="4" a="1"/>
  <c r="AG39" i="4" a="1"/>
  <c r="AG38" i="4" a="1"/>
  <c r="AG37" i="4" a="1"/>
  <c r="AG36" i="4" a="1"/>
  <c r="AG35" i="4" a="1"/>
  <c r="AG34" i="4" a="1"/>
  <c r="AG33" i="4" a="1"/>
  <c r="AG32" i="4" a="1"/>
  <c r="AG31" i="4" a="1"/>
  <c r="AG30" i="4" a="1"/>
  <c r="AG29" i="4" a="1"/>
  <c r="AG28" i="4" a="1"/>
  <c r="AG27" i="4" a="1"/>
  <c r="AG26" i="4" a="1"/>
  <c r="AG25" i="4" a="1"/>
  <c r="AG24" i="4" a="1"/>
  <c r="AG23" i="4" a="1"/>
  <c r="AG22" i="4" a="1"/>
  <c r="AG21" i="4" a="1"/>
  <c r="AG20" i="4" a="1"/>
  <c r="AG19" i="4" a="1"/>
  <c r="AG18" i="4" a="1"/>
  <c r="AG17" i="4" a="1"/>
  <c r="AG16" i="4" a="1"/>
  <c r="AG15" i="4" a="1"/>
  <c r="AG14" i="4" a="1"/>
  <c r="AG13" i="4" a="1"/>
  <c r="AG12" i="4" a="1"/>
  <c r="AG11" i="4" a="1"/>
  <c r="AG10" i="4" a="1"/>
  <c r="AG9" i="4" a="1"/>
  <c r="AG8" i="4" a="1"/>
  <c r="AG7" i="4" a="1"/>
  <c r="AG6" i="4" a="1"/>
  <c r="AG5" i="4" a="1"/>
  <c r="AG4" i="4" a="1"/>
  <c r="AG3" i="4" a="1"/>
  <c r="AG2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<sst xmlns="http://schemas.openxmlformats.org/spreadsheetml/2006/main" count="4417" uniqueCount="1116">
  <si>
    <t>Item</t>
  </si>
  <si>
    <t>Radicado</t>
  </si>
  <si>
    <t>Dane Sede</t>
  </si>
  <si>
    <t xml:space="preserve">Lugar de Entrega </t>
  </si>
  <si>
    <t>Ubicacion institucional Educativa(P-D-M)</t>
  </si>
  <si>
    <t>N° Orden de Transporte</t>
  </si>
  <si>
    <t>Programa</t>
  </si>
  <si>
    <t>Referencia</t>
  </si>
  <si>
    <t>Descripcion</t>
  </si>
  <si>
    <t>Cantidad</t>
  </si>
  <si>
    <t>Serial</t>
  </si>
  <si>
    <t>INSTITUCION EDUCATIVA BONAFONT - INSTITUCION EDUCATIVA BONAFONT - SEDE PRINCIPAL</t>
  </si>
  <si>
    <t>Riosucio - Caldas</t>
  </si>
  <si>
    <t>ENTIDAD TERRITORIAL</t>
  </si>
  <si>
    <t>Comité de focalizacion 2026</t>
  </si>
  <si>
    <t>BT IMPRESORA 3D CTO 158-25</t>
  </si>
  <si>
    <t>Q2 24841</t>
  </si>
  <si>
    <t>BT KIT DE FILAMENTO PLA CTO 158-25</t>
  </si>
  <si>
    <t>PLA385</t>
  </si>
  <si>
    <t>BT KIT DE 45 SENSORES PARA ARDUINO Y RASPBERRY PI + PLACA ARDUINO CTO 158-25</t>
  </si>
  <si>
    <t>BT25-KAR-434</t>
  </si>
  <si>
    <t>BT25-KAR-435</t>
  </si>
  <si>
    <t>BT25-KAR-529</t>
  </si>
  <si>
    <t>BT25-KAR-471</t>
  </si>
  <si>
    <t>INSTITUCION EDUCATIVA CRISANTO LUQUE - INSTITUCION EDUCATIVA CRISANTO LUQUE - SEDE PRINCIPAL</t>
  </si>
  <si>
    <t>Filadelfia - Caldas</t>
  </si>
  <si>
    <t>PLA285</t>
  </si>
  <si>
    <t>BT KIT AVANZADO DE 45 SENSORES PARA MICRO:BIT CTO 158-25</t>
  </si>
  <si>
    <t>BT25-KSM-122</t>
  </si>
  <si>
    <t>BT25-KSM-093</t>
  </si>
  <si>
    <t>BT25-KSM-565</t>
  </si>
  <si>
    <t>BT25-KSM-559</t>
  </si>
  <si>
    <t>BT25-KSM-709</t>
  </si>
  <si>
    <t>BT25-KAR-385</t>
  </si>
  <si>
    <t>BT25-KAR-432</t>
  </si>
  <si>
    <t>BT25-KAR-467</t>
  </si>
  <si>
    <t>BT25-KAR-363</t>
  </si>
  <si>
    <t>BT25-KAR-408</t>
  </si>
  <si>
    <t>INSTITUCION EDUCATIVA EL HORRO - SEDE VILLA OROZCO</t>
  </si>
  <si>
    <t>Anserma - Caldas</t>
  </si>
  <si>
    <t>BT PORTATIL DE DISEÑO LENOVO THINKPAD P16S  CTO 158-25</t>
  </si>
  <si>
    <t>PF6C8VAX</t>
  </si>
  <si>
    <t>BT PANTALLA INTERACTIVA CTO 158-25</t>
  </si>
  <si>
    <t>EM260401026500344</t>
  </si>
  <si>
    <t>BT SPORTE MOVIL PANTALLA INTERACTIVA CTO 158-25</t>
  </si>
  <si>
    <t>EMSPICPE0320</t>
  </si>
  <si>
    <t>Q2 24928</t>
  </si>
  <si>
    <t>PLA269</t>
  </si>
  <si>
    <t>INSTITUCION EDUCATIVA CRISTO REY - INSTITUCION EDUCATIVA CRISTO REY - SEDE PRINCIPAL</t>
  </si>
  <si>
    <t>Belalcázar - Caldas</t>
  </si>
  <si>
    <t>BT EQUIPO DE ESCRITORIO PARA DISEÑO CTO 158-25</t>
  </si>
  <si>
    <t>GM1DFW1F</t>
  </si>
  <si>
    <t>BT EQUIPO DE ESCRITORIO PARA DISEÑO MONITOR CTO 158-25</t>
  </si>
  <si>
    <t>V90G6K5K</t>
  </si>
  <si>
    <t>BT VIDEOPROYECTOR CTO 158-25</t>
  </si>
  <si>
    <t>XFW260101826</t>
  </si>
  <si>
    <t>INSTITUCION EDUCATIVA AURELIANO FLOREZ CARDONA - INSTITUCIÓN EDUCATIVA AURELIANO FLOREZ CARDONA  - SEDE PRINCIPAL</t>
  </si>
  <si>
    <t>BT FUENTE REGULADA VARIABLE 30V - 10A, LED DISPLAY 4 DIGITOS CTO 158-25</t>
  </si>
  <si>
    <t>NO APLICA</t>
  </si>
  <si>
    <t>BT KIT AGRICULTURA INTELIGENTE CTO 158-25</t>
  </si>
  <si>
    <t>BT25-KAI-178</t>
  </si>
  <si>
    <t>BT25-KAI-176</t>
  </si>
  <si>
    <t>BT25-KAI-179</t>
  </si>
  <si>
    <t>INSTITUCION EDUCATIVA COLOMBIA - INSTITUCION EDUCATIVA COLOMBIA - SEDE PRINCIPAL</t>
  </si>
  <si>
    <t>Villamaría - Caldas</t>
  </si>
  <si>
    <t>BT25-KAI-180</t>
  </si>
  <si>
    <t>BT25-KAI-163</t>
  </si>
  <si>
    <t>BT25-KSM-706</t>
  </si>
  <si>
    <t>BT25-KSM-121</t>
  </si>
  <si>
    <t>BT25-KSM-569</t>
  </si>
  <si>
    <t>INSTITUCION EDUCATIVA SUPIA - INSTITUCION EDUCATIVA SUPIA - SEDE PRINCIPAL</t>
  </si>
  <si>
    <t>Supía - Caldas</t>
  </si>
  <si>
    <t>BT CAMARA FOTOGRAFICA SONY CTO 158-25</t>
  </si>
  <si>
    <t>S014968593U</t>
  </si>
  <si>
    <t>BT LENTE CAMARA FOTOGRAFICA 18105 CTO 158-25</t>
  </si>
  <si>
    <t>S012509568L</t>
  </si>
  <si>
    <t>BT CARGADORES CÁMARA FOTOGRÁFICA CTO 158-25</t>
  </si>
  <si>
    <t>14932504726015PA1000370</t>
  </si>
  <si>
    <t>BT BATERIAS CAMARA FOTOGRAFICA CTO 158-25</t>
  </si>
  <si>
    <t>49945555MH2512150272098062</t>
  </si>
  <si>
    <t>49945555MH2512150272089062</t>
  </si>
  <si>
    <t>BT MEMORIAS USD 128 GB CTO 158-25</t>
  </si>
  <si>
    <t>454 Y455</t>
  </si>
  <si>
    <t>BT ESTUCHE DE TRANSPORTE CAMARA INDIVIDUAL CTO 158-25</t>
  </si>
  <si>
    <t>XFW260101234</t>
  </si>
  <si>
    <t>INSTITUCION EDUCATIVA PUEBLO RICO - INSTITUCION EDUCATIVA PUEBLO RICO - SEDE PRINCIPAL</t>
  </si>
  <si>
    <t>Neira - Caldas</t>
  </si>
  <si>
    <t>BT SMART TV CTO 158-25</t>
  </si>
  <si>
    <t>0HU03CEL300013</t>
  </si>
  <si>
    <t>BT SPORTE MOVIL SMART TV CTO 158-25</t>
  </si>
  <si>
    <t>STV-CPE-090</t>
  </si>
  <si>
    <t>BT KIT DE MANTENIMIENTO CTO 158-25</t>
  </si>
  <si>
    <t>BT25</t>
  </si>
  <si>
    <t>INSTITUCION EDUCATIVA PIO XII - POSPRIMARIA LA REINA</t>
  </si>
  <si>
    <t>Samaná - Caldas</t>
  </si>
  <si>
    <t>0KBC3CDL400226</t>
  </si>
  <si>
    <t>STV-CPE-874</t>
  </si>
  <si>
    <t>BT DISCO DURO EXTERNO 1 TB CTO 158-25</t>
  </si>
  <si>
    <t>1P4221302272</t>
  </si>
  <si>
    <t>INSTITUCION EDUCATIVA ESCUELA NORMAL SUPERIOR SAGRADO CORAZON - ESCUELA ANEXA POLICARPA SALAVARRIETA</t>
  </si>
  <si>
    <t>Aranzazu - Caldas</t>
  </si>
  <si>
    <t>XFW260101851</t>
  </si>
  <si>
    <t>BT25-KSM-553</t>
  </si>
  <si>
    <t>BT25-KSM-116</t>
  </si>
  <si>
    <t>BT25-KSM-601</t>
  </si>
  <si>
    <t>BT25-KSM-577</t>
  </si>
  <si>
    <t>BT25-KSM-112</t>
  </si>
  <si>
    <t>BT25-KAR-466</t>
  </si>
  <si>
    <t>BT25-KAR-431</t>
  </si>
  <si>
    <t>BT25-KAR-384</t>
  </si>
  <si>
    <t>BT25-KAR-406</t>
  </si>
  <si>
    <t>BT25-KAR-407</t>
  </si>
  <si>
    <t>INSTITUCION EDUCATIVA ESCUELA NORMAL SUPERIOR DE LA PRESENTACION - INSTITUCION EDUCATIVA ESC. NORMAL SUPERIOR DE LA PRESENTACION - SEDE PRINCIPAL</t>
  </si>
  <si>
    <t>Pensilvania - Caldas</t>
  </si>
  <si>
    <t>BT KIT ANALISIS Y MEDICION CTO 158-25</t>
  </si>
  <si>
    <t>BT25-KAM-167</t>
  </si>
  <si>
    <t>INSTITUCION EDUCATIVA OCUZCA - LA TOLDA</t>
  </si>
  <si>
    <t>PF6C5AFE</t>
  </si>
  <si>
    <t>S014968978.</t>
  </si>
  <si>
    <t>S012508651D</t>
  </si>
  <si>
    <t>14932504726015PA1000360</t>
  </si>
  <si>
    <t>49945555MH2512150272071062</t>
  </si>
  <si>
    <t>49945555MH2512170282995062</t>
  </si>
  <si>
    <t>1381 Y 1400</t>
  </si>
  <si>
    <t>EM260401026500345</t>
  </si>
  <si>
    <t>EMSPICPE0435</t>
  </si>
  <si>
    <t>INSTITUCION EDUCATIVA LA ESTRELLA - ESCUELA RURAL QUIEBRA DE ROQUE</t>
  </si>
  <si>
    <t>Norcasia - Caldas</t>
  </si>
  <si>
    <t>PF6C884J</t>
  </si>
  <si>
    <t>INSTITUCION EDUCATIVA FRANCISCO JOSE DE CALDAS - INSTITUCIÓN EDUCATIVA FRANCISCO JOSE DE CALDAS - SEDE PRINCIPAL</t>
  </si>
  <si>
    <t>Pácora - Caldas</t>
  </si>
  <si>
    <t>BT JUEGO DE MESA EDUCATIVO STEM CTO 158-25</t>
  </si>
  <si>
    <t>BT25-JES-057</t>
  </si>
  <si>
    <t>BT25-JES-027</t>
  </si>
  <si>
    <t>INSTITUCION EDUCATIVA NEIRA - ESCUELA JOSÉ MARÍA CÓRDOBA</t>
  </si>
  <si>
    <t>EM260401026500404</t>
  </si>
  <si>
    <t>EMSPICPE0212</t>
  </si>
  <si>
    <t>INSTITUCION EDUCATIVA EL MADROÑO - INSTITUCION EDUCATIVA EL MADROÑO - SEDE PRINCIPAL</t>
  </si>
  <si>
    <t>BT CONSOLA DE AUDIO CTO 158-25</t>
  </si>
  <si>
    <t>010019T0601ACW</t>
  </si>
  <si>
    <t>BT MICRÓFONO CONDENSADOR CTO 158-25</t>
  </si>
  <si>
    <t>01008P50504AAE</t>
  </si>
  <si>
    <t>BT GRABADORA PORTÁTIL ESTÉREO CTO 158-25</t>
  </si>
  <si>
    <t>GPE477</t>
  </si>
  <si>
    <t>BT AUDÍFONOS TIPO DIADEMA KAD CTO 158-25</t>
  </si>
  <si>
    <t>BT25-KADMO1-035</t>
  </si>
  <si>
    <t>BT SOPORTE PARA MICRÓFONO ARTICULADO CTO 158-25</t>
  </si>
  <si>
    <t>BT PROTECTOR MICROFONO CONDENSADOR CTO 158-25</t>
  </si>
  <si>
    <t>BT COMBO CARGADOR PILAS RECARGABLES CTO 158-25</t>
  </si>
  <si>
    <t>BT CABINA ACTIVA CTO 158-25</t>
  </si>
  <si>
    <t>´2025102480070148</t>
  </si>
  <si>
    <t>0KBC3CDL400338</t>
  </si>
  <si>
    <t>STV-CPE-413</t>
  </si>
  <si>
    <t>INSTITUCION EDUCATIVA PATIO BONITO - INSTITUCION EDUCATIVA PATIO BONITO - SEDE PRINCIPAL</t>
  </si>
  <si>
    <t>Marquetalia - Caldas</t>
  </si>
  <si>
    <t>S014969418R</t>
  </si>
  <si>
    <t>S012509506D</t>
  </si>
  <si>
    <t>14932504625085PA1000598</t>
  </si>
  <si>
    <t>49945555MH2512170280601062</t>
  </si>
  <si>
    <t>49945555MH2512170281774062</t>
  </si>
  <si>
    <t>1465 Y 1464</t>
  </si>
  <si>
    <t>INSTITUCION EDUCATIVA EL JAPON - INSTITUCION EDUCATIVA EL JAPON - SEDE PRINCIPAL</t>
  </si>
  <si>
    <t>La Dorada - Caldas</t>
  </si>
  <si>
    <t>S014968374R</t>
  </si>
  <si>
    <t>S0125102624</t>
  </si>
  <si>
    <t>14932504726015PA1000100</t>
  </si>
  <si>
    <t>49945555MH2512170282953062</t>
  </si>
  <si>
    <t>49945555MH2512170280515062</t>
  </si>
  <si>
    <t>303 Y392</t>
  </si>
  <si>
    <t>INSTITUCION EDUCATIVA OCUZCA - INSTITUCION EDUCATIVA OCUZCA - SEDE PRINCIPAL</t>
  </si>
  <si>
    <t>GM1DFW1M</t>
  </si>
  <si>
    <t>V90G6K5A</t>
  </si>
  <si>
    <t>EM260401026500349</t>
  </si>
  <si>
    <t>EMSPICPE0305</t>
  </si>
  <si>
    <t>BT25-KAI-214</t>
  </si>
  <si>
    <t>BT25-KAI-170</t>
  </si>
  <si>
    <t>BT25-KAI-186</t>
  </si>
  <si>
    <t>BT25-KSM-067</t>
  </si>
  <si>
    <t>BT25-KSM-588</t>
  </si>
  <si>
    <t>BT25-KSM-705</t>
  </si>
  <si>
    <t>INSTITUCION EDUCATIVA LA IBERIA - CENTRO EDUCATIVO PORTACHUELO - SEDE PRINCIPAL</t>
  </si>
  <si>
    <t>PF6CS06W</t>
  </si>
  <si>
    <t>EM260401026500295</t>
  </si>
  <si>
    <t>EMSPICPE0173</t>
  </si>
  <si>
    <t>INSTITUCION EDUCATIVA ALEGRIAS - INSTITUCION EDUCATIVA ALEGRIAS - SEDE PRINCIPAL</t>
  </si>
  <si>
    <t>PF6CR9W3</t>
  </si>
  <si>
    <t>EM260401026500333</t>
  </si>
  <si>
    <t>EMSPICPE0214</t>
  </si>
  <si>
    <t>INSTITUCION EDUCATIVA GENERAL RAMON MARIN - INSTITUCION EDUCATIVA GENERAL RAMON MARIN - SEDE PRINCIPAL</t>
  </si>
  <si>
    <t>Marmato - Caldas</t>
  </si>
  <si>
    <t>PF6C33L6</t>
  </si>
  <si>
    <t>PLA116</t>
  </si>
  <si>
    <t>BT25-KSM-090</t>
  </si>
  <si>
    <t>INSTITUCION EDUCATIVA SIPIRRA - INSTITUCIÓN EDUCATIVA SIPIRRA - SEDE PRINCIPAL</t>
  </si>
  <si>
    <t>PF6BTB0H</t>
  </si>
  <si>
    <t>S250600271A0H</t>
  </si>
  <si>
    <t>01008LE0504AAE</t>
  </si>
  <si>
    <t>GPE479</t>
  </si>
  <si>
    <t>BT25-KADMO1-112</t>
  </si>
  <si>
    <t>2026011680070349</t>
  </si>
  <si>
    <t>INSTITUCION EDUCATIVA QUIEBRA DE SANTA BARBARA - INSTITUCION EDUCATIVA QUIEBRA DE SANTA BARBARA - SEDE PRINCIPAL</t>
  </si>
  <si>
    <t>Risaralda - Caldas</t>
  </si>
  <si>
    <t>PF6CR2Z3</t>
  </si>
  <si>
    <t>Y88252351911</t>
  </si>
  <si>
    <t>INSTITUCION EDUCATIVA ENCIMADAS - INSTITUCION EDUCATIVA ENCIMADAS - SEDE PRINCIPAL</t>
  </si>
  <si>
    <t>0KBC3CDL400501</t>
  </si>
  <si>
    <t>STV-CPE-623</t>
  </si>
  <si>
    <t>BT25-KAI-169</t>
  </si>
  <si>
    <t>INSTITUCION EDUCATIVA CAÑAMOMO Y LOMAPRIETA - INSTITUCION EDUCATIVA CAÑAMOMO Y LOMAPRIETA - SEDE PRINCIPAL</t>
  </si>
  <si>
    <t>0KBC3CDL400520</t>
  </si>
  <si>
    <t>STV-CPE-567</t>
  </si>
  <si>
    <t>Q2 24828</t>
  </si>
  <si>
    <t>PLA322</t>
  </si>
  <si>
    <t>BT25-KMT-441</t>
  </si>
  <si>
    <t>BT25-KMT-442</t>
  </si>
  <si>
    <t>INSTITUCION EDUCATIVA LAS COLES - CENTRO EDUCATIVO LOS MEDIOS</t>
  </si>
  <si>
    <t>0KBC3CDL400057</t>
  </si>
  <si>
    <t>STV-CPE-813</t>
  </si>
  <si>
    <t>Q2 24799</t>
  </si>
  <si>
    <t>PLA29</t>
  </si>
  <si>
    <t>BT25-KMT-447</t>
  </si>
  <si>
    <t>BT25-KMT-438</t>
  </si>
  <si>
    <t>INSTITUCION EDUCATIVA EL LLANO - INSTITUCION EDUCATIVA EL LLANO - SEDE PRINCIPAL</t>
  </si>
  <si>
    <t>EM260401026500304</t>
  </si>
  <si>
    <t>EMSPICPE0241</t>
  </si>
  <si>
    <t>Q2 25065</t>
  </si>
  <si>
    <t>PLA107</t>
  </si>
  <si>
    <t>INSTITUCION EDUCATIVA ANTONIO MARIA HINCAPIE - ESCUELA RULAR SANTA ELENA</t>
  </si>
  <si>
    <t>EM260401026500372</t>
  </si>
  <si>
    <t>EMSPICPE0295</t>
  </si>
  <si>
    <t>Q2 24956</t>
  </si>
  <si>
    <t>PLA315</t>
  </si>
  <si>
    <t>INSTITUCION EDUCATIVA GUARINOCITO - INSTITUCION EDUCATIVA GUARINOCITO - SEDE PRINCIPAL</t>
  </si>
  <si>
    <t>BT MULTIMETRO DIGITAL CTO 158-25</t>
  </si>
  <si>
    <t>C242891757</t>
  </si>
  <si>
    <t>BT ESTACIÓN DE SOLDADURA Y AIRE CALIENTE CTO 158-25</t>
  </si>
  <si>
    <t>BT25-KES-010</t>
  </si>
  <si>
    <t>BT25-KAR-470</t>
  </si>
  <si>
    <t>INSTITUCION EDUCATIVA GABRIEL GARCIA MARQUEZ - INSTITUCION EDUCATIVA GABRIEL GARCIA MARQUEZ - SEDE PRINCIPAL</t>
  </si>
  <si>
    <t>Q2 24827</t>
  </si>
  <si>
    <t>PLA40</t>
  </si>
  <si>
    <t>INSTITUCION EDUCATIVA MARMATO - ESCUELA MAXIMILIANO GRILLO</t>
  </si>
  <si>
    <t>EM260401026500337</t>
  </si>
  <si>
    <t>EMSPICPE0032</t>
  </si>
  <si>
    <t>KIT MAKER</t>
  </si>
  <si>
    <t>INSTITUCION EDUCATIVA LOS FUNDADORES - INSTITUCION EDUCATIVA LOS FUNDADORES - SEDE PRINCIPAL</t>
  </si>
  <si>
    <t>XFW260101959</t>
  </si>
  <si>
    <t>INSTITUCION EDUCATIVA EFREN CARDONA CHICA - INSTITUCION EDUCATIVA EFREN CARDONA CHICA - SEDE PRINCIPAL</t>
  </si>
  <si>
    <t>Marulanda - Caldas</t>
  </si>
  <si>
    <t>Q2 24807</t>
  </si>
  <si>
    <t>PLA284</t>
  </si>
  <si>
    <t>INSTITUCION EDUCATIVA LICEO CLAUDINA MUNERA - INSTITUCION EDUCATIVA LICEO CLAUDINA MUNERA - SEDE PRINCIPAL</t>
  </si>
  <si>
    <t>Aguadas - Caldas</t>
  </si>
  <si>
    <t>Q2 24992</t>
  </si>
  <si>
    <t>PLA109</t>
  </si>
  <si>
    <t>INSTITUCION EDUCATIVA DANIEL MARIA LOPEZ RODRIGUEZ - INSTITUCION EDUCATIVA DANIEL MARIA LOPEZ RODRIGUEZ - SEDE PRINCIPAL</t>
  </si>
  <si>
    <t>Q2 25043</t>
  </si>
  <si>
    <t>PLA386</t>
  </si>
  <si>
    <t>INSTITUCION EDUCATIVA JOHN F. KENNEDY - COLEGIO JHON F. KENNEDY</t>
  </si>
  <si>
    <t>Q2 25062</t>
  </si>
  <si>
    <t>PLA379</t>
  </si>
  <si>
    <t>INSTITUCION EDUCATIVA EL TREBOL - INSTITUCIÓN EDUCATIVA EL TREBOL - SEDE PRINCIPAL</t>
  </si>
  <si>
    <t>Chinchiná - Caldas</t>
  </si>
  <si>
    <t>01001CY0601ACW</t>
  </si>
  <si>
    <t>01000Y70504AAE</t>
  </si>
  <si>
    <t>GPE137</t>
  </si>
  <si>
    <t>BT25-KADMO1-041</t>
  </si>
  <si>
    <t>2026011680070132</t>
  </si>
  <si>
    <t>INSTITUCION EDUCATIVA DULCE NOMBRE - ESCUELA RURAL LA TULIA</t>
  </si>
  <si>
    <t>49945555MH2512170280083062</t>
  </si>
  <si>
    <t>49945555MH2512100281326062</t>
  </si>
  <si>
    <t>BT ESTUCHE DE TRANSPORTE KIT AUDIO VISUAL CTO 158-25</t>
  </si>
  <si>
    <t>14932504726035PA1000579</t>
  </si>
  <si>
    <t>S014968462P</t>
  </si>
  <si>
    <t>S012507534C</t>
  </si>
  <si>
    <t>SD0124   -   SD1158</t>
  </si>
  <si>
    <t>GPE139</t>
  </si>
  <si>
    <t>BT TRÍPODE FOTOGRÁFICO CTO 158-25</t>
  </si>
  <si>
    <t>BT MICRÓFONO TIPO BOOM CTO 158-25</t>
  </si>
  <si>
    <t>BY34100086823</t>
  </si>
  <si>
    <t>BT KIT DE TELÓN ESTUDIO FONDO VERDE  CTO 158-25</t>
  </si>
  <si>
    <t>BT LENTE INTERCAMBIABLE CAMARA FOTOGRAFICA 55210 CTO 158-25</t>
  </si>
  <si>
    <t>S015261064A</t>
  </si>
  <si>
    <t>BT LUCES LED CTO 158-25</t>
  </si>
  <si>
    <t>BT25-KLL-028</t>
  </si>
  <si>
    <t>BT MICRÓFONO DE SOLAPA CTO 158-25</t>
  </si>
  <si>
    <t>C6AX25998JG</t>
  </si>
  <si>
    <t>BT CAÑA PARA  MICROFONO CTO 158-25</t>
  </si>
  <si>
    <t>D - AUDÍFONOS ALÁMBRICOS CON CONECTOR USB TIPO C - PLUG</t>
  </si>
  <si>
    <t>49945555MH2512100281891062</t>
  </si>
  <si>
    <t>49945555MH2512100282812062</t>
  </si>
  <si>
    <t>14932504726035PA1000589</t>
  </si>
  <si>
    <t>S014969032J</t>
  </si>
  <si>
    <t>S012508657J</t>
  </si>
  <si>
    <t>SD1131   -   SD1144</t>
  </si>
  <si>
    <t>GPE205</t>
  </si>
  <si>
    <t>BY34260061261</t>
  </si>
  <si>
    <t>S0152617209</t>
  </si>
  <si>
    <t>BT25-KLL-035</t>
  </si>
  <si>
    <t>C6AX2598YZS</t>
  </si>
  <si>
    <t>49945555MH2512100282959062</t>
  </si>
  <si>
    <t>49945555MH2512100280849062</t>
  </si>
  <si>
    <t>14932504726035PA1000943</t>
  </si>
  <si>
    <t>S014969461P</t>
  </si>
  <si>
    <t>S012508191C</t>
  </si>
  <si>
    <t>SD1175   -   SD1157</t>
  </si>
  <si>
    <t>GPE175</t>
  </si>
  <si>
    <t>BY34260061283</t>
  </si>
  <si>
    <t>S0152611247</t>
  </si>
  <si>
    <t>BT25-KLL-220</t>
  </si>
  <si>
    <t>C6AX258RPZ5</t>
  </si>
  <si>
    <t>49945555MH2512100281415062</t>
  </si>
  <si>
    <t>49945555MH2512120273018062</t>
  </si>
  <si>
    <t>14932504726015PA1000284</t>
  </si>
  <si>
    <t>S014969009N</t>
  </si>
  <si>
    <t>S012508064B</t>
  </si>
  <si>
    <t>SD1132   -   SD1145</t>
  </si>
  <si>
    <t>GPE144</t>
  </si>
  <si>
    <t>BY34100086804</t>
  </si>
  <si>
    <t>S015261796M</t>
  </si>
  <si>
    <t>BT25-KLL-018</t>
  </si>
  <si>
    <t>C6AX258TG4D</t>
  </si>
  <si>
    <t>49945555MH2512100282784062</t>
  </si>
  <si>
    <t>49945555MH2512100281344062</t>
  </si>
  <si>
    <t>14932504726015PA1000139</t>
  </si>
  <si>
    <t>S014968398X</t>
  </si>
  <si>
    <t>S0125104503</t>
  </si>
  <si>
    <t>SD1126   -   SD1146</t>
  </si>
  <si>
    <t>GPE195</t>
  </si>
  <si>
    <t>BY34100086846</t>
  </si>
  <si>
    <t>S015261784J</t>
  </si>
  <si>
    <t>BT25-KLL-148</t>
  </si>
  <si>
    <t>C6AX2592VDH</t>
  </si>
  <si>
    <t>49945555MH2512170280030062</t>
  </si>
  <si>
    <t>49945555MH2512100281076062</t>
  </si>
  <si>
    <t>14932504726035PA1000598</t>
  </si>
  <si>
    <t>S014968444P</t>
  </si>
  <si>
    <t>S012509447H</t>
  </si>
  <si>
    <t>SD1130   -   SD1127</t>
  </si>
  <si>
    <t>GPE136</t>
  </si>
  <si>
    <t>BY34100086835</t>
  </si>
  <si>
    <t>S015261065B</t>
  </si>
  <si>
    <t>BT25-KLL-029</t>
  </si>
  <si>
    <t>C6EX225582T</t>
  </si>
  <si>
    <t>49945555MH2512120272468062</t>
  </si>
  <si>
    <t>49945555MH2512100281070062</t>
  </si>
  <si>
    <t>14932504726015PA1000305</t>
  </si>
  <si>
    <t>S014969088U</t>
  </si>
  <si>
    <t>S012509599P</t>
  </si>
  <si>
    <t>SD1147   -   SD1139</t>
  </si>
  <si>
    <t>BY34100086724</t>
  </si>
  <si>
    <t>S0152613025</t>
  </si>
  <si>
    <t>BT25-KLL-021</t>
  </si>
  <si>
    <t>C6AX253XVY3</t>
  </si>
  <si>
    <t>49945555MH2512170281697062</t>
  </si>
  <si>
    <t>49945555MH2512170281766062</t>
  </si>
  <si>
    <t>14932504726015PA1000278</t>
  </si>
  <si>
    <t>S014968580Q</t>
  </si>
  <si>
    <t>S0125103546</t>
  </si>
  <si>
    <t>SD1148   -   SD1138</t>
  </si>
  <si>
    <t>GPE203</t>
  </si>
  <si>
    <t>BY34100086833</t>
  </si>
  <si>
    <t>S0152604025</t>
  </si>
  <si>
    <t>BT25-KLL-081</t>
  </si>
  <si>
    <t>C6AX2598VKM</t>
  </si>
  <si>
    <t>49945555MH2512170280732062</t>
  </si>
  <si>
    <t>49945555MH2512100281855062</t>
  </si>
  <si>
    <t>14932504726015PA1000298</t>
  </si>
  <si>
    <t>S014968579Y</t>
  </si>
  <si>
    <t>S012508715E</t>
  </si>
  <si>
    <t>SD1149   -   SD1140</t>
  </si>
  <si>
    <t>GPE178</t>
  </si>
  <si>
    <t>BY34100086842</t>
  </si>
  <si>
    <t>S0152611708</t>
  </si>
  <si>
    <t>BT25-KLL-113</t>
  </si>
  <si>
    <t>C6AX2592J5E</t>
  </si>
  <si>
    <t>INSTITUCION EDUCATIVA PIO XII - INSTITUCION EDUCATIVA PIO XII - SEDE PRINCIPAL</t>
  </si>
  <si>
    <t>Salamina - Caldas</t>
  </si>
  <si>
    <t>49945555MH2512170280742062</t>
  </si>
  <si>
    <t>49945555MH2512120272559062</t>
  </si>
  <si>
    <t>14932504726015PA1000285</t>
  </si>
  <si>
    <t>S014968399Y</t>
  </si>
  <si>
    <t>S012509086G</t>
  </si>
  <si>
    <t>SD1129   -   SD1128</t>
  </si>
  <si>
    <t>GPE198</t>
  </si>
  <si>
    <t>BY34100086832</t>
  </si>
  <si>
    <t>S015261297I</t>
  </si>
  <si>
    <t>BT25-KLL-117</t>
  </si>
  <si>
    <t>C6AX258U666</t>
  </si>
  <si>
    <t>INSTITUCION EDUCATIVA MARCO FIDEL SUAREZ - INSTITUCION EDUCATIVA MARCO FIDEL SUAREZ - SEDE PRINCIPAL</t>
  </si>
  <si>
    <t>49945555MH2512100281935062</t>
  </si>
  <si>
    <t>49945555MH2512100281321062</t>
  </si>
  <si>
    <t>14932504726015PA1000228</t>
  </si>
  <si>
    <t>S014969363Q</t>
  </si>
  <si>
    <t>S012509585K</t>
  </si>
  <si>
    <t>SD1141   -   SD1137</t>
  </si>
  <si>
    <t>GPE142</t>
  </si>
  <si>
    <t>BY34100086810</t>
  </si>
  <si>
    <t>S015260399K</t>
  </si>
  <si>
    <t>BT25-KLL-084</t>
  </si>
  <si>
    <t>C6AX253JZ9K</t>
  </si>
  <si>
    <t>INSTITUCION EDUCATIVA SANTA TERESITA - INSTITUCIÓN EDUCATIVA SANTA TERESITA - SEDE PRINCIPAL</t>
  </si>
  <si>
    <t>49945555MH2512170280743062</t>
  </si>
  <si>
    <t>49945555MH2512120272567062</t>
  </si>
  <si>
    <t>14932504726035PA1000707</t>
  </si>
  <si>
    <t>S014968577W</t>
  </si>
  <si>
    <t>S0125102668</t>
  </si>
  <si>
    <t>SD1161   -   SD1136</t>
  </si>
  <si>
    <t>GPE194</t>
  </si>
  <si>
    <t>BY34100086486</t>
  </si>
  <si>
    <t>S0152604036</t>
  </si>
  <si>
    <t>BT25-KLL-147</t>
  </si>
  <si>
    <t>C6AX253XW2S</t>
  </si>
  <si>
    <t>Dane sede</t>
  </si>
  <si>
    <t>INSTITUCION EDUCATIVA ESCUELA NORMAL SUPERIOR REBECA SIERRA CARDONA - SEDE PRINCIPAL</t>
  </si>
  <si>
    <t>Anserma</t>
  </si>
  <si>
    <t>COMITÉ DE FOCALIZACION 2026</t>
  </si>
  <si>
    <t>PORTÁTIL 14" HEWLETT PACKARD, PROBOOK 445 14 INCH G11 RYZEN 3 7335U - OC 148772</t>
  </si>
  <si>
    <t>5CD53293KF</t>
  </si>
  <si>
    <t>INSTITUCION EDUCATIVA ESCUELA NORMAL SUPERIOR SAGRADO CORAZON - SEDE PRINCIPAL</t>
  </si>
  <si>
    <t>Aranzazu</t>
  </si>
  <si>
    <t>5CD53276HP</t>
  </si>
  <si>
    <t>INSTITUCION EDUCATIVA MARCO FIDEL SUAREZ - SEDE PRINCIPAL</t>
  </si>
  <si>
    <t>La Dorada</t>
  </si>
  <si>
    <t>5CD53276QZ</t>
  </si>
  <si>
    <t>5CD5320L6M</t>
  </si>
  <si>
    <t>C50VVLA#ABM</t>
  </si>
  <si>
    <t>INSTITUCION EDUCATIVA EL PLACER - SEDE PRINCIPAL</t>
  </si>
  <si>
    <t>Marquetalia</t>
  </si>
  <si>
    <t>5CD532768Y</t>
  </si>
  <si>
    <t>5CD53276Z1</t>
  </si>
  <si>
    <t>INSTITUCIÓN EDUCATIVA SAN GERARDO MARIA MAYELA - SEDE PRINCIPAL</t>
  </si>
  <si>
    <t>Norcasia</t>
  </si>
  <si>
    <t>5CD532766F</t>
  </si>
  <si>
    <t>5CD5320LGS</t>
  </si>
  <si>
    <t>5CD5328V62</t>
  </si>
  <si>
    <t>5CD5320LFT</t>
  </si>
  <si>
    <t>5CD5328V4X</t>
  </si>
  <si>
    <t>5CD53276QB</t>
  </si>
  <si>
    <t>5CD5320L80</t>
  </si>
  <si>
    <t>5CD5328TY5</t>
  </si>
  <si>
    <t>5CD532941L</t>
  </si>
  <si>
    <t>INSTITUCION EDUCATIVA ESC. NORMAL SUPERIOR DE LA PRESENTACION - SEDE PRINCIPAL</t>
  </si>
  <si>
    <t>Pensilvania</t>
  </si>
  <si>
    <t>5CD53293K8</t>
  </si>
  <si>
    <t>Riosucio</t>
  </si>
  <si>
    <t>5CD5327711</t>
  </si>
  <si>
    <t>5CD532766P</t>
  </si>
  <si>
    <t>5CD5320M5Q</t>
  </si>
  <si>
    <t>5CD5320L7N</t>
  </si>
  <si>
    <t>5CD5328V1J</t>
  </si>
  <si>
    <t>5CD53276VR</t>
  </si>
  <si>
    <t>5CD5320L9W</t>
  </si>
  <si>
    <t>5CD532775B</t>
  </si>
  <si>
    <t>INSTITUCION EDUCATIVA LA IBERIA - SEDE PRINCIPAL</t>
  </si>
  <si>
    <t>5CD532940G</t>
  </si>
  <si>
    <t>5CD53293N5</t>
  </si>
  <si>
    <t>ESCUELA NUEVA EL CONSUELO</t>
  </si>
  <si>
    <t>Samaná</t>
  </si>
  <si>
    <t>5CD53276W1</t>
  </si>
  <si>
    <t>INSTITUCION EDUCATIVA ENCIMADAS - SEDE PRINCIPAL</t>
  </si>
  <si>
    <t>5CD53276YC</t>
  </si>
  <si>
    <t>INSTITUCION EDUCATIVA FELIX NARANJO - SEDE PRINCIPAL</t>
  </si>
  <si>
    <t>5CD53293V3</t>
  </si>
  <si>
    <t>INSTITUCION EDUCATIVA MARINO GOMEZ ESTRADA - SEDE PRINCIPAL</t>
  </si>
  <si>
    <t>Aguadas</t>
  </si>
  <si>
    <t>BT TABLETA LENOVO IDEA TAB PRO  CTO 158-25</t>
  </si>
  <si>
    <t>HA2HES5G</t>
  </si>
  <si>
    <t>HA2HDZEV</t>
  </si>
  <si>
    <t>INSTITUCION EDUCATIVA CRISTO REY - SEDE PRINCIPAL</t>
  </si>
  <si>
    <t>Belalcázar</t>
  </si>
  <si>
    <t>HA2HF5YE</t>
  </si>
  <si>
    <t>HA2HFL9K</t>
  </si>
  <si>
    <t>HA2HF3WN</t>
  </si>
  <si>
    <t>HA2HEQ33</t>
  </si>
  <si>
    <t>INSTITUCIÓN EDUCATIVA SAN FRANCISCO DE PAULA - SEDE PRINCIPAL</t>
  </si>
  <si>
    <t>Chinchiná</t>
  </si>
  <si>
    <t>HA2HFZ91</t>
  </si>
  <si>
    <t>INSTITUCIÓN EDUCATIVA SANTA TERESITA - SEDE PRINCIPAL</t>
  </si>
  <si>
    <t>HA2HG0GP</t>
  </si>
  <si>
    <t>HA2HES59</t>
  </si>
  <si>
    <t>HA2HDZLA</t>
  </si>
  <si>
    <t>HA2HGSRY</t>
  </si>
  <si>
    <t>HA2HDHTY</t>
  </si>
  <si>
    <t>HA2HDDHS</t>
  </si>
  <si>
    <t>HA2HEN5S</t>
  </si>
  <si>
    <t>INSTITUCION EDUCATIVA MANZANARES - SEDE PRINCIPAL</t>
  </si>
  <si>
    <t>Manzanares</t>
  </si>
  <si>
    <t>HA2HCYGP</t>
  </si>
  <si>
    <t>HA2HFQ9E</t>
  </si>
  <si>
    <t>HA2HG494</t>
  </si>
  <si>
    <t>HA2HFE78</t>
  </si>
  <si>
    <t>HA2HGSRJ</t>
  </si>
  <si>
    <t>HA2HFAY6</t>
  </si>
  <si>
    <t>HA2HGR1X</t>
  </si>
  <si>
    <t>HA2HFN54</t>
  </si>
  <si>
    <t>Pácora</t>
  </si>
  <si>
    <t>HA2HE653</t>
  </si>
  <si>
    <t>COLEGIO JHON F. KENNEDY</t>
  </si>
  <si>
    <t>HA2HEA4N</t>
  </si>
  <si>
    <t>HA2HE863</t>
  </si>
  <si>
    <t>HA2HES8T</t>
  </si>
  <si>
    <t>HA2HGS2T</t>
  </si>
  <si>
    <t>INSTITUCION EDUCATIVA CAMILO OLIMPO CARDONA - SEDE PRINCIPAL</t>
  </si>
  <si>
    <t>HA2HGSGZ</t>
  </si>
  <si>
    <t>HA2HEC5J</t>
  </si>
  <si>
    <t>HA2HEQ3G</t>
  </si>
  <si>
    <t>HA2HFC12</t>
  </si>
  <si>
    <t>HA2HFB0X</t>
  </si>
  <si>
    <t>HA2HGSHJ</t>
  </si>
  <si>
    <t>INSTITUCION EDUCATIVA LOS FUNDADORES - SEDE PRINCIPAL</t>
  </si>
  <si>
    <t>HA2HFAZX</t>
  </si>
  <si>
    <t>INSTITUCION EDUCATIVA MARIA INMACULADA - SEDE PRINCIPAL</t>
  </si>
  <si>
    <t>Risaralda</t>
  </si>
  <si>
    <t>HA2HGSSK</t>
  </si>
  <si>
    <t>HA2HES87</t>
  </si>
  <si>
    <t>INSTITUCION EDUCATIVA DE LA PRESENTACION - SEDE PRINCIPAL</t>
  </si>
  <si>
    <t>Salamina</t>
  </si>
  <si>
    <t>HA2HGSH6</t>
  </si>
  <si>
    <t>HA2HFZCX</t>
  </si>
  <si>
    <t>HA2HEL54</t>
  </si>
  <si>
    <t>HA2HFD2A</t>
  </si>
  <si>
    <t>HA2HCYLP</t>
  </si>
  <si>
    <t>HA2HFJFN</t>
  </si>
  <si>
    <t>HA2HGRGK</t>
  </si>
  <si>
    <t>HA2HEN15</t>
  </si>
  <si>
    <t>HA2HG1J2</t>
  </si>
  <si>
    <t>HA2HFZ8J</t>
  </si>
  <si>
    <t>INSTITUCION EDUCATIVA SAN AGUSTIN - SEDE PRINCIPAL</t>
  </si>
  <si>
    <t>HA2HDMYZ</t>
  </si>
  <si>
    <t>HA2HFW6V</t>
  </si>
  <si>
    <t>HA2HDMYL</t>
  </si>
  <si>
    <t>HA2HG4AG</t>
  </si>
  <si>
    <t>HA2J945W</t>
  </si>
  <si>
    <t>HA2HF3Z4</t>
  </si>
  <si>
    <t>HA2HFX1D</t>
  </si>
  <si>
    <t>HA2HFE6Y</t>
  </si>
  <si>
    <t>INSTITUCION EDUCATIVA LA MILAGROSA - SEDE PRINCIPAL</t>
  </si>
  <si>
    <t>Viterbo</t>
  </si>
  <si>
    <t>HA2HFY37</t>
  </si>
  <si>
    <t>HA2HEL3E</t>
  </si>
  <si>
    <t>HA2HFW5P</t>
  </si>
  <si>
    <t>Convocatoria</t>
  </si>
  <si>
    <t>RADICADO</t>
  </si>
  <si>
    <t>DEPARTAMENTO</t>
  </si>
  <si>
    <t>SECRETARIA</t>
  </si>
  <si>
    <t>CODIGO_DANE_MUNICIPIO</t>
  </si>
  <si>
    <t>MUNICIPIO</t>
  </si>
  <si>
    <t>CODIGO_DANE</t>
  </si>
  <si>
    <t>NOMBRE_ESTABLECIMIENTO</t>
  </si>
  <si>
    <t>CODIGO_DANE_SEDE</t>
  </si>
  <si>
    <t>NOMBRE_SEDE</t>
  </si>
  <si>
    <t>ZONA</t>
  </si>
  <si>
    <t>COMPUTADOR PORTÁTIL</t>
  </si>
  <si>
    <t>TABLETA</t>
  </si>
  <si>
    <t>acudiente_nombres</t>
  </si>
  <si>
    <t>acudiente_documento</t>
  </si>
  <si>
    <t>acudiente_parentesco</t>
  </si>
  <si>
    <t>acudiente_direccion</t>
  </si>
  <si>
    <t>acudiente_celular</t>
  </si>
  <si>
    <t>acudiente_correo</t>
  </si>
  <si>
    <t>DOCUMENTO DE IDENTIDAD</t>
  </si>
  <si>
    <t>NOMBRE 1</t>
  </si>
  <si>
    <t>NOMBRE 2</t>
  </si>
  <si>
    <t>APELLIDO 1</t>
  </si>
  <si>
    <t>APELLIDO 2</t>
  </si>
  <si>
    <t>FECHA NACIMIENTO</t>
  </si>
  <si>
    <t>EDAD AL 30 DE OCTUBRE CON DOCUMENTO</t>
  </si>
  <si>
    <t>SEXO</t>
  </si>
  <si>
    <t>GRADO</t>
  </si>
  <si>
    <t>correo_estudiante</t>
  </si>
  <si>
    <t>Serial Asignado</t>
  </si>
  <si>
    <t>Estado Despacho</t>
  </si>
  <si>
    <t>Línea 2 — EE vinculados a Educación Superior</t>
  </si>
  <si>
    <t>Caldas</t>
  </si>
  <si>
    <t>CALDAS</t>
  </si>
  <si>
    <t>INSTITUCION EDUCATIVA MARINO GOMEZ ESTRADA</t>
  </si>
  <si>
    <t>URBANA</t>
  </si>
  <si>
    <t xml:space="preserve">-   </t>
  </si>
  <si>
    <t>DURBAY PATRICIA BETANCUR CARDONA</t>
  </si>
  <si>
    <t>MADRE</t>
  </si>
  <si>
    <t>Cra 3 # 18-95 apto 201</t>
  </si>
  <si>
    <t>betancurcardonadurbaypatricia@gmail.com</t>
  </si>
  <si>
    <t>MARIA</t>
  </si>
  <si>
    <t>FERNANDA</t>
  </si>
  <si>
    <t>VARGAS</t>
  </si>
  <si>
    <t>BETANCUR</t>
  </si>
  <si>
    <t>4/14/2010</t>
  </si>
  <si>
    <t>F</t>
  </si>
  <si>
    <t>fernandavargasbetancur03@gmail.com</t>
  </si>
  <si>
    <t>Despacho Programado</t>
  </si>
  <si>
    <t>LUZ ADRIANA LÓPEZ MURILLO</t>
  </si>
  <si>
    <t>Cra 5 # 10-28</t>
  </si>
  <si>
    <t>adrianayemanuel069@gmail.com</t>
  </si>
  <si>
    <t>EMANUEL</t>
  </si>
  <si>
    <t>RAMIREZ</t>
  </si>
  <si>
    <t>LOPEZ</t>
  </si>
  <si>
    <t>2/17/2010</t>
  </si>
  <si>
    <t>M</t>
  </si>
  <si>
    <t>ramirezlopezema@gmail.com</t>
  </si>
  <si>
    <t>INSTITUCION EDUCATIVA CRISTO REY</t>
  </si>
  <si>
    <t>MARÍA ROSA SÁNCHEZ NOREÑA</t>
  </si>
  <si>
    <t>Cra 7 # 21 - 21</t>
  </si>
  <si>
    <t>grisalessanchezjuanjose238@gmail.com</t>
  </si>
  <si>
    <t>JUAN</t>
  </si>
  <si>
    <t>JOSE</t>
  </si>
  <si>
    <t>GRISALES</t>
  </si>
  <si>
    <t>SANCHEZ</t>
  </si>
  <si>
    <t>9/17/2009</t>
  </si>
  <si>
    <t xml:space="preserve">ALEJANDRA ARISTIZÁBAL VELANDIA </t>
  </si>
  <si>
    <t>KR 4 CL 13 - 12 PISO 4 APTO 401</t>
  </si>
  <si>
    <t>alejandraaristizabal17@hotmail.com</t>
  </si>
  <si>
    <t>MIGUEL</t>
  </si>
  <si>
    <t>OROZCO</t>
  </si>
  <si>
    <t>ARISTIZABAL</t>
  </si>
  <si>
    <t>jmorozcoaristizabal@gmail.com</t>
  </si>
  <si>
    <t xml:space="preserve">ALBANORA RUIZ VALENCIA </t>
  </si>
  <si>
    <t xml:space="preserve">Águila alta </t>
  </si>
  <si>
    <t>ruiznora624@gmail.com</t>
  </si>
  <si>
    <t>SNEIDER</t>
  </si>
  <si>
    <t>GALLEGO</t>
  </si>
  <si>
    <t>RUIZ</t>
  </si>
  <si>
    <t>ruizgallego1252@gmail.com</t>
  </si>
  <si>
    <t xml:space="preserve">MARIA ANDREA RUEDA </t>
  </si>
  <si>
    <t>CL 21#9-30</t>
  </si>
  <si>
    <t>andremarrueda@gmail.com</t>
  </si>
  <si>
    <t>HAYDER</t>
  </si>
  <si>
    <t>CANO</t>
  </si>
  <si>
    <t>RUEDA</t>
  </si>
  <si>
    <t>haydercanorueda428@gmail.com</t>
  </si>
  <si>
    <t>INSTITUCION EDUCATIVA SAN FRANCISCO DE PAULA</t>
  </si>
  <si>
    <t>LEIDY JULIETH DUQUE SALAZAR</t>
  </si>
  <si>
    <t>vereda los cuervos sector las escuelas</t>
  </si>
  <si>
    <t>yosthindumey2000@gmail.com</t>
  </si>
  <si>
    <t>YOSTHIN</t>
  </si>
  <si>
    <t>DUMEY</t>
  </si>
  <si>
    <t>ORTEGA</t>
  </si>
  <si>
    <t>DUQUE</t>
  </si>
  <si>
    <t>11/13/2008</t>
  </si>
  <si>
    <t>INSTITUCION EDUCATIVA SANTA TERESITA</t>
  </si>
  <si>
    <t>PAULA ANDREA LOPEZ TRUJILLO</t>
  </si>
  <si>
    <t xml:space="preserve">cra 7  10-07 </t>
  </si>
  <si>
    <t>paulaandrealopeztrujillo03@gmail.com</t>
  </si>
  <si>
    <t>JOEL</t>
  </si>
  <si>
    <t>LORENZO</t>
  </si>
  <si>
    <t>GIRALDO</t>
  </si>
  <si>
    <t>1/30/2010</t>
  </si>
  <si>
    <t>joel.giraldo.lopez2024@gmail.com</t>
  </si>
  <si>
    <t xml:space="preserve">DEYVER ARCILA CORTES </t>
  </si>
  <si>
    <t>PADRE</t>
  </si>
  <si>
    <t xml:space="preserve">cra 17a # 8a - 03 </t>
  </si>
  <si>
    <t>deyverarcila1980@gmail.com</t>
  </si>
  <si>
    <t>MANUELA</t>
  </si>
  <si>
    <t>ARCILA</t>
  </si>
  <si>
    <t>manuarcila2009@gmail.com</t>
  </si>
  <si>
    <t>LADY TATIANA GIRALDO PARRA</t>
  </si>
  <si>
    <t>CARRERA 12C # 7-07 URBANIZACIÓN LA VICTORIA CASA 22</t>
  </si>
  <si>
    <t>tatygp22@gmail.com</t>
  </si>
  <si>
    <t>MARIANA</t>
  </si>
  <si>
    <t>PARRA</t>
  </si>
  <si>
    <t>marianagiraldoparra09@gmail.com</t>
  </si>
  <si>
    <t>JENNY VANESSA TABARES LOZANO</t>
  </si>
  <si>
    <t>Cra 15a#8D-31</t>
  </si>
  <si>
    <t>valerytabares921@gmail.com</t>
  </si>
  <si>
    <t>VALERY</t>
  </si>
  <si>
    <t>CARDENAS</t>
  </si>
  <si>
    <t>TABARES</t>
  </si>
  <si>
    <t>2/20/2010</t>
  </si>
  <si>
    <t>FLORALBA LOPEZ LONDOÑO</t>
  </si>
  <si>
    <t>crr10# 6-36</t>
  </si>
  <si>
    <t>floralbalopez00@gmail.com</t>
  </si>
  <si>
    <t>DILAN</t>
  </si>
  <si>
    <t>ESTEBAN</t>
  </si>
  <si>
    <t>RUDAS</t>
  </si>
  <si>
    <t>dilanestebanrudas@gmail.com</t>
  </si>
  <si>
    <t xml:space="preserve">LAZARO ANTONIO VALENCIA CORRALES </t>
  </si>
  <si>
    <t>Vereda bajo español Finca caja de oro</t>
  </si>
  <si>
    <t>Valciajp@gmail.com</t>
  </si>
  <si>
    <t>PABLO</t>
  </si>
  <si>
    <t>VALENCIA</t>
  </si>
  <si>
    <t>GONZALEZ</t>
  </si>
  <si>
    <t xml:space="preserve">FRANCIA AYER RAMÍREZ </t>
  </si>
  <si>
    <t>Carrera 11 Calle 6 #11-19</t>
  </si>
  <si>
    <t>tamayoemmanuel90@gmail.com</t>
  </si>
  <si>
    <t>TAMAYO</t>
  </si>
  <si>
    <t>2/21/2009</t>
  </si>
  <si>
    <t>tamayoramirezemmanuel21@gmail.com</t>
  </si>
  <si>
    <t>INSTITUCION EDUCATIVA MANZANARES</t>
  </si>
  <si>
    <t>MARITZA SANCHEZ GALEANO</t>
  </si>
  <si>
    <t>cra5 #8-13</t>
  </si>
  <si>
    <t>masaga2472@gmail.com</t>
  </si>
  <si>
    <t>ANDRES</t>
  </si>
  <si>
    <t>FELIPE</t>
  </si>
  <si>
    <t>FRANCO</t>
  </si>
  <si>
    <t>andresfelipefrancosanchez181@gmail.com</t>
  </si>
  <si>
    <t>YARLEDY GARCIA CARVAJAL</t>
  </si>
  <si>
    <t xml:space="preserve">Barrio Lombo </t>
  </si>
  <si>
    <t>Valenciagyarlenyy@gmail.com</t>
  </si>
  <si>
    <t>GARCIA</t>
  </si>
  <si>
    <t>yarle3245@gmail.com</t>
  </si>
  <si>
    <t>LEIDY TATIANA JARAMILLO MONTES</t>
  </si>
  <si>
    <t>Calle 6 3 33</t>
  </si>
  <si>
    <t>tatiana.jaramillom@hotmail.com</t>
  </si>
  <si>
    <t>GERONIMO</t>
  </si>
  <si>
    <t>HINCAPIE</t>
  </si>
  <si>
    <t>JARAMILLO</t>
  </si>
  <si>
    <t>10/29/2009</t>
  </si>
  <si>
    <t>hincapiejaramillogeronimo@gmail.com</t>
  </si>
  <si>
    <t>MARIO ANDRES NIETO GIL</t>
  </si>
  <si>
    <t>Calle 11 #5-05</t>
  </si>
  <si>
    <t>mangi@hotmail.com</t>
  </si>
  <si>
    <t>SOFIA</t>
  </si>
  <si>
    <t>NIETO</t>
  </si>
  <si>
    <t>OSORIO</t>
  </si>
  <si>
    <t>4/24/2009</t>
  </si>
  <si>
    <t>nieto.245600@gmail.com</t>
  </si>
  <si>
    <t>DIANA FARLEDY CARVAJAL LOPEZ</t>
  </si>
  <si>
    <t>Calle 1#2_04 mirador esquina</t>
  </si>
  <si>
    <t>carvajaldiana753@gmail.com</t>
  </si>
  <si>
    <t>LUISA</t>
  </si>
  <si>
    <t>MARTINEZ</t>
  </si>
  <si>
    <t>CARVAJAL</t>
  </si>
  <si>
    <t>4/19/2010</t>
  </si>
  <si>
    <t>luisafernandamartinezcarvajal@gmail.com</t>
  </si>
  <si>
    <t>INSTITUCION EDUCATIVA EL PLACER</t>
  </si>
  <si>
    <t>RURAL</t>
  </si>
  <si>
    <t xml:space="preserve"> -   </t>
  </si>
  <si>
    <t xml:space="preserve">EDWIN OSORIO GUARÍN </t>
  </si>
  <si>
    <t>Vereda Buenos Aires</t>
  </si>
  <si>
    <t>edwinosoriog5@gmail.com</t>
  </si>
  <si>
    <t>JUANA</t>
  </si>
  <si>
    <t>JULIETH</t>
  </si>
  <si>
    <t>juanajuliethosorio@gmail.com</t>
  </si>
  <si>
    <t>NARLIDIS MEJIA HERNANDEZ</t>
  </si>
  <si>
    <t xml:space="preserve">Vereda el porvenir </t>
  </si>
  <si>
    <t>mejianarlidis6@gmail.com</t>
  </si>
  <si>
    <t>MEJIA</t>
  </si>
  <si>
    <t>narlidismejia941mail.com@gmail.com</t>
  </si>
  <si>
    <t>INSTITUCION EDUCATIVA SAN GERARDO MARIA MAYELA</t>
  </si>
  <si>
    <t>LUIZA FERNANDA RODRIGUEZ GALLEGO</t>
  </si>
  <si>
    <t>MANZANA 35 CASA 97 BARRIO SAN MARIANO</t>
  </si>
  <si>
    <t>luizafer_815@hotmail.com</t>
  </si>
  <si>
    <t>DAVID</t>
  </si>
  <si>
    <t>BEDOYA</t>
  </si>
  <si>
    <t>RODRIGUEZ</t>
  </si>
  <si>
    <t>juand20024@icloud.com</t>
  </si>
  <si>
    <t>YURIANA YERLEIDY RINCON FLOREZ</t>
  </si>
  <si>
    <t>ALTO DE LOS PINOS BL C AP 31 PISO 2</t>
  </si>
  <si>
    <t>CRISTANCHO</t>
  </si>
  <si>
    <t>RINCON</t>
  </si>
  <si>
    <t>yyrf89@gmail.com</t>
  </si>
  <si>
    <t xml:space="preserve">ADRIANA MARÍA MEJIA </t>
  </si>
  <si>
    <t>Nueva esperanza bloque 4 apartamento 503</t>
  </si>
  <si>
    <t>ANGEL</t>
  </si>
  <si>
    <t>TRUJILLO</t>
  </si>
  <si>
    <t>mejiaquintero884@gmail.com</t>
  </si>
  <si>
    <t>MERCEDES BERMUDEZ</t>
  </si>
  <si>
    <t>BARRIO MARISOL MANRIQUE ETAPA 2 - CASA #21</t>
  </si>
  <si>
    <t>OSCAR</t>
  </si>
  <si>
    <t>ROA</t>
  </si>
  <si>
    <t>BERMUDEZ</t>
  </si>
  <si>
    <t>roabermudezoscardavid@gmail.com</t>
  </si>
  <si>
    <t>YENSY LORENA ARANGO GARCIA</t>
  </si>
  <si>
    <t>ISABELA</t>
  </si>
  <si>
    <t>ARANGO</t>
  </si>
  <si>
    <t>7/23/2009</t>
  </si>
  <si>
    <t>francoisabela38@gmail.com</t>
  </si>
  <si>
    <t>ANGELA YINETH PEREZ CASALLAS</t>
  </si>
  <si>
    <t xml:space="preserve">La variante finca la joya </t>
  </si>
  <si>
    <t>ANA</t>
  </si>
  <si>
    <t>HENAO</t>
  </si>
  <si>
    <t>PEREZ</t>
  </si>
  <si>
    <t>7/13/2009</t>
  </si>
  <si>
    <t>anasofiahenao1309@gmail.com</t>
  </si>
  <si>
    <t>ADRIANA ROA HERRERA</t>
  </si>
  <si>
    <t>Carrera 5 # 10-21</t>
  </si>
  <si>
    <t>SANTIAGO</t>
  </si>
  <si>
    <t>HERRERA</t>
  </si>
  <si>
    <t>cmhr20113147709606@gmail.com</t>
  </si>
  <si>
    <t xml:space="preserve">JENNY PATRICIA OLIVARES </t>
  </si>
  <si>
    <t>Barrio: Marisol Manrique, apto: 403, bloque: 4</t>
  </si>
  <si>
    <t>SARAY</t>
  </si>
  <si>
    <t>LINEY</t>
  </si>
  <si>
    <t>OLIVARES</t>
  </si>
  <si>
    <t>10/31/2009</t>
  </si>
  <si>
    <t>lineygarcia032@gmail.com</t>
  </si>
  <si>
    <t>ANA MILENA MORENO  GARZON</t>
  </si>
  <si>
    <t>calle 14 #5-20</t>
  </si>
  <si>
    <t>HABINSON</t>
  </si>
  <si>
    <t>MORENO</t>
  </si>
  <si>
    <t>8/22/2009</t>
  </si>
  <si>
    <t>habinson22@gmail.com</t>
  </si>
  <si>
    <t xml:space="preserve">FRANCY YURLEY BETANCURT PEÑA </t>
  </si>
  <si>
    <t xml:space="preserve">Vereda Montebello </t>
  </si>
  <si>
    <t>JHOAN</t>
  </si>
  <si>
    <t>ALEXIS</t>
  </si>
  <si>
    <t>VILLAMIL</t>
  </si>
  <si>
    <t>BETANCURT</t>
  </si>
  <si>
    <t>2/15/2010</t>
  </si>
  <si>
    <t>jhoanv846@gmail.com</t>
  </si>
  <si>
    <t>JOSE ARNULFO FLOREZ RINCON</t>
  </si>
  <si>
    <t>Poblado bajo</t>
  </si>
  <si>
    <t>PAULA</t>
  </si>
  <si>
    <t>VALENTINA</t>
  </si>
  <si>
    <t>FLOREZ</t>
  </si>
  <si>
    <t>REYES</t>
  </si>
  <si>
    <t>11/22/2009</t>
  </si>
  <si>
    <t>valenfloreyes@gmail.com</t>
  </si>
  <si>
    <t xml:space="preserve">YUDY ESNEY LONDOÑO PEÑA </t>
  </si>
  <si>
    <t xml:space="preserve">Cra7#6-24 </t>
  </si>
  <si>
    <t>ISABEL</t>
  </si>
  <si>
    <t>CRISTINA</t>
  </si>
  <si>
    <t>GOMEZ</t>
  </si>
  <si>
    <t>LONDOÃ‘O</t>
  </si>
  <si>
    <t>isabelgomezlondono2@hotmail.com</t>
  </si>
  <si>
    <t>INSTITUCION EDUCATIVA MARCO FIDEL SUAREZ</t>
  </si>
  <si>
    <t>JENNIFER MARCELA REYES RODRIGUEZ</t>
  </si>
  <si>
    <t>Carrera 2 N. 5-35</t>
  </si>
  <si>
    <t>SOPHIA</t>
  </si>
  <si>
    <t>BECERRA</t>
  </si>
  <si>
    <t>marcrey864@gmail.com</t>
  </si>
  <si>
    <t>INSTITUCION EDUCATIVA CAMILO OLIMPO CARDONA</t>
  </si>
  <si>
    <t>ROSALBA QUICENO JARAMILLO</t>
  </si>
  <si>
    <t>El Higueron</t>
  </si>
  <si>
    <t>DIANA</t>
  </si>
  <si>
    <t>MURILLO</t>
  </si>
  <si>
    <t>QUICENO</t>
  </si>
  <si>
    <t>murillosofi2009@gmail.com</t>
  </si>
  <si>
    <t>LADY JOHANA JIMÉNEZ GONZÁLEZ</t>
  </si>
  <si>
    <t>La soledad</t>
  </si>
  <si>
    <t>KAROL</t>
  </si>
  <si>
    <t>XIMENA</t>
  </si>
  <si>
    <t>QUINTERO</t>
  </si>
  <si>
    <t>JIMENEZ</t>
  </si>
  <si>
    <t>karolquinterojimenez5@gmail.com</t>
  </si>
  <si>
    <t>LUZ LILIANA ALARCON LÓPEZ</t>
  </si>
  <si>
    <t>vereda Barreto</t>
  </si>
  <si>
    <t>YENNI</t>
  </si>
  <si>
    <t>MARELVI</t>
  </si>
  <si>
    <t>ALARCON</t>
  </si>
  <si>
    <t>2/26/2009</t>
  </si>
  <si>
    <t>yennireyes084@gmail.com</t>
  </si>
  <si>
    <t>BLANCA LEDIS GALLEGO GUTIERREZ</t>
  </si>
  <si>
    <t>el higuerón</t>
  </si>
  <si>
    <t>2/15/2009</t>
  </si>
  <si>
    <t>aaosoriov1@gmail.com</t>
  </si>
  <si>
    <t>SANTOS REYES CARRILLO</t>
  </si>
  <si>
    <t>Vereda barreto</t>
  </si>
  <si>
    <t>GRICELDA</t>
  </si>
  <si>
    <t>JASSBLEIDY</t>
  </si>
  <si>
    <t>TORRES</t>
  </si>
  <si>
    <t>4/16/2010</t>
  </si>
  <si>
    <t>JEFERSON</t>
  </si>
  <si>
    <t>DANIEL</t>
  </si>
  <si>
    <t>2/14/2009</t>
  </si>
  <si>
    <t>INSTITUCION EDUCATIVA JOHN F. KENNEDY</t>
  </si>
  <si>
    <t>ANDREA MORALES</t>
  </si>
  <si>
    <t>CORREGIMIENTO BOLIVIA LA SOLEDAD</t>
  </si>
  <si>
    <t>KAREN</t>
  </si>
  <si>
    <t>MORALES</t>
  </si>
  <si>
    <t>Karenmo2009icloud@gmail.com</t>
  </si>
  <si>
    <t>LUZ YANETH VALENCIA LOPEZ</t>
  </si>
  <si>
    <t>CORREGIMIENTO BOLIVIA</t>
  </si>
  <si>
    <t>ELIANA</t>
  </si>
  <si>
    <t>VASQUEZ</t>
  </si>
  <si>
    <t>vasquezeliana90@gmail.com</t>
  </si>
  <si>
    <t>SORAIDA JARAMILLO GUTIERREZ</t>
  </si>
  <si>
    <t>REPRESENTANTE_LEGAL</t>
  </si>
  <si>
    <t>CORREGIMIENTO DE BOLIVIA</t>
  </si>
  <si>
    <t>VALERIA</t>
  </si>
  <si>
    <t>lopezjaramillovaleria098@gmail.com</t>
  </si>
  <si>
    <t>KELY JOHANA CIFUENTES AGUDELO</t>
  </si>
  <si>
    <t>LAURA</t>
  </si>
  <si>
    <t>CIFUENTES</t>
  </si>
  <si>
    <t>9/30/2009</t>
  </si>
  <si>
    <t>lauragiraldocifuentes13@gmail.com</t>
  </si>
  <si>
    <t>INSTITUCION EDUCATIVA LA IBERIA</t>
  </si>
  <si>
    <t>ZULAY YAMILE GUERRERO ROTAVISTA</t>
  </si>
  <si>
    <t>VDA PULGARIN, RESGUARDO CAÑAMOMO LOMAPRIETA</t>
  </si>
  <si>
    <t>FERLEYSON</t>
  </si>
  <si>
    <t>GUERRERO</t>
  </si>
  <si>
    <t>ROTAVISTA</t>
  </si>
  <si>
    <t>5/25/2009</t>
  </si>
  <si>
    <t>ferleysonguerrero6@gmail.com</t>
  </si>
  <si>
    <t>ADELAIDA UCHIMA</t>
  </si>
  <si>
    <t>vda planadas</t>
  </si>
  <si>
    <t>YENIFER</t>
  </si>
  <si>
    <t>ALEJANDRA</t>
  </si>
  <si>
    <t>BOLAÃ‘OS</t>
  </si>
  <si>
    <t>UCHIMA</t>
  </si>
  <si>
    <t>4/30/2009</t>
  </si>
  <si>
    <t>yenibolanos27@gmail.com</t>
  </si>
  <si>
    <t>INSTITUCION EDUCATIVA LOS FUNDADORES</t>
  </si>
  <si>
    <t>MARIA LUCERO AMAYA MAFLA</t>
  </si>
  <si>
    <t>Vereda la playa</t>
  </si>
  <si>
    <t>LASSO</t>
  </si>
  <si>
    <t>AMAYA</t>
  </si>
  <si>
    <t>4/26/2009</t>
  </si>
  <si>
    <t>isabella.lasso.amaya2@gmail.com</t>
  </si>
  <si>
    <t>INSTITUCION EDUCATIVA MARIA INMACULADA</t>
  </si>
  <si>
    <t>DIANA YANET VALENCIA AGUDELO</t>
  </si>
  <si>
    <t>Cra 3#12-36</t>
  </si>
  <si>
    <t>RAQUEL</t>
  </si>
  <si>
    <t>raquelsanchezvalencia5@gmail.com</t>
  </si>
  <si>
    <t>DANIELA BERMUDEZ</t>
  </si>
  <si>
    <t>Carrera 3 # 7- 85</t>
  </si>
  <si>
    <t>CELESTE</t>
  </si>
  <si>
    <t>SARAZA</t>
  </si>
  <si>
    <t>dabeac2408@gmail.com</t>
  </si>
  <si>
    <t>INSTITUCION EDUCATIVA DE LA PRESENTACION</t>
  </si>
  <si>
    <t>ANALIDA GONZALEZ OCAMPO</t>
  </si>
  <si>
    <t>Calle 4 A #1-22</t>
  </si>
  <si>
    <t>JERONIMO</t>
  </si>
  <si>
    <t>SOTO</t>
  </si>
  <si>
    <t>12/30/2008</t>
  </si>
  <si>
    <t>jeronimosotogz@gmail.com</t>
  </si>
  <si>
    <t>ANGELA MARÍA CARDONA GOMEZ</t>
  </si>
  <si>
    <t>Carrera séptima 19 78 apartamento 102</t>
  </si>
  <si>
    <t>CARDONA</t>
  </si>
  <si>
    <t>11/15/2008</t>
  </si>
  <si>
    <t>sofiagomezcardona001@gmail.com</t>
  </si>
  <si>
    <t xml:space="preserve">LUZ CLEMENCIA OSORIO RAMÍREZ </t>
  </si>
  <si>
    <t>Carrera 8 # 7 64</t>
  </si>
  <si>
    <t>12/28/2009</t>
  </si>
  <si>
    <t>osorioesteban897@gmail.com</t>
  </si>
  <si>
    <t>NELLY MEDINA FRANCO</t>
  </si>
  <si>
    <t>CRA 8 #14-79</t>
  </si>
  <si>
    <t>MANUEL</t>
  </si>
  <si>
    <t>FERNANDO</t>
  </si>
  <si>
    <t>10/27/2010</t>
  </si>
  <si>
    <t>xm.manuel2005@gmail.com</t>
  </si>
  <si>
    <t>LUZ ESTRELLA BLANDON MARULANDA</t>
  </si>
  <si>
    <t>Call 14 #6-54</t>
  </si>
  <si>
    <t>GUADALUPE</t>
  </si>
  <si>
    <t>SUAREZ</t>
  </si>
  <si>
    <t>BLANDON</t>
  </si>
  <si>
    <t>6/30/2009</t>
  </si>
  <si>
    <t>suarezblandonguadalupe@gmail.com</t>
  </si>
  <si>
    <t>JORGE LEANDRO FLOREZ CEBALLOS</t>
  </si>
  <si>
    <t>Cra 6.    #  1 --44</t>
  </si>
  <si>
    <t>ANYI</t>
  </si>
  <si>
    <t>TATIANA</t>
  </si>
  <si>
    <t>4/18/2009</t>
  </si>
  <si>
    <t>yulianaramirez789@gmail.com</t>
  </si>
  <si>
    <t>PAULA JOHANA DUQUE</t>
  </si>
  <si>
    <t>Carrera 4 # 2-24</t>
  </si>
  <si>
    <t>SEBASTIAN</t>
  </si>
  <si>
    <t>RIOS</t>
  </si>
  <si>
    <t>juansebastianriosduque1@gmail.com</t>
  </si>
  <si>
    <t xml:space="preserve">YENNY VARGAS ATEHORTUA </t>
  </si>
  <si>
    <t>Pinares del tachuelo casa 18-C</t>
  </si>
  <si>
    <t>7/21/2010</t>
  </si>
  <si>
    <t>Vargasyenimarli@gmail.com</t>
  </si>
  <si>
    <t>MARIA DEL PILAR CARDONA MURILLO</t>
  </si>
  <si>
    <t>Vereda La Quiebra</t>
  </si>
  <si>
    <t>NATALIA</t>
  </si>
  <si>
    <t>cardonanatalia733@gmail.com</t>
  </si>
  <si>
    <t>WILLIAM QUINTERO OCAMPO</t>
  </si>
  <si>
    <t>Calle 4 # 4-15</t>
  </si>
  <si>
    <t>MARIN</t>
  </si>
  <si>
    <t>1/16/2010</t>
  </si>
  <si>
    <t>quinteromarinlaurasofia@gmail.com</t>
  </si>
  <si>
    <t>INSTITUCION EDUCATIVA ENCIMADAS</t>
  </si>
  <si>
    <t xml:space="preserve">LEIDY CONSTANZA OCAMPO OSPINA </t>
  </si>
  <si>
    <t xml:space="preserve">Vereda el consuelo </t>
  </si>
  <si>
    <t>OCAMPO</t>
  </si>
  <si>
    <t>9/14/2009</t>
  </si>
  <si>
    <t>ocamponarvaezlaura@gmail.com</t>
  </si>
  <si>
    <t xml:space="preserve">ALBA LILIANA GARCIA ARIAS </t>
  </si>
  <si>
    <t xml:space="preserve">Encimadas </t>
  </si>
  <si>
    <t>ZULLY</t>
  </si>
  <si>
    <t>ANDREA</t>
  </si>
  <si>
    <t>zullyperez3390@gmail.com</t>
  </si>
  <si>
    <t>INSTITUCION EDUCATIVA FELIX NARANJO</t>
  </si>
  <si>
    <t>ELISENIA CORTES</t>
  </si>
  <si>
    <t xml:space="preserve">Corregimiento de san Diego </t>
  </si>
  <si>
    <t>EIMILIN</t>
  </si>
  <si>
    <t>SARAIT</t>
  </si>
  <si>
    <t>MARULANDA</t>
  </si>
  <si>
    <t>CORTES</t>
  </si>
  <si>
    <t>6/13/2009</t>
  </si>
  <si>
    <t>eimilincortes567@gmail.com</t>
  </si>
  <si>
    <t>MARI LUZ OBANDO CARDONA</t>
  </si>
  <si>
    <t>Corregimiento San Diego</t>
  </si>
  <si>
    <t>CAMILO</t>
  </si>
  <si>
    <t>OBANDO</t>
  </si>
  <si>
    <t>cardonaobandocamilo@gmail.com</t>
  </si>
  <si>
    <t>INSTITUCION EDUCATIVA SAN AGUSTIN</t>
  </si>
  <si>
    <t xml:space="preserve">KATHERIN JULIETH VALENCIA ZULUAGA </t>
  </si>
  <si>
    <t xml:space="preserve">Carrera 3#3-58 villa pilar bajo </t>
  </si>
  <si>
    <t>DAZA</t>
  </si>
  <si>
    <t>dazasantiago126@gmail.com</t>
  </si>
  <si>
    <t xml:space="preserve">MAIDA ANYELIN MONTOYA OCAMPO </t>
  </si>
  <si>
    <t xml:space="preserve">Calle 8 #8-31 </t>
  </si>
  <si>
    <t>JOHAN</t>
  </si>
  <si>
    <t>STIVEN</t>
  </si>
  <si>
    <t>MONTOYA</t>
  </si>
  <si>
    <t>8/16/2009</t>
  </si>
  <si>
    <t>johanstiven16083@gmail.com</t>
  </si>
  <si>
    <t>LUZ ADRIANA MUÑOZ HOYOZ</t>
  </si>
  <si>
    <t xml:space="preserve">carrera 10 5 51 </t>
  </si>
  <si>
    <t>MUÃ‘OZ</t>
  </si>
  <si>
    <t>marianita749@gmail.com</t>
  </si>
  <si>
    <t>GLORIA JOHANA OSPINA OCAMPO</t>
  </si>
  <si>
    <t>Cra 9 #8-34</t>
  </si>
  <si>
    <t>EGAS</t>
  </si>
  <si>
    <t>OSPINA</t>
  </si>
  <si>
    <t>11/19/2009</t>
  </si>
  <si>
    <t>sofiaegas62@gmail.com</t>
  </si>
  <si>
    <t xml:space="preserve">MÓNICA PATRICIA HENAO ESCOBAR </t>
  </si>
  <si>
    <t>Cra 8 #4-03</t>
  </si>
  <si>
    <t>ALEJANDRO</t>
  </si>
  <si>
    <t>alejandroartzbl@gmail.com</t>
  </si>
  <si>
    <t xml:space="preserve">LORENA ROJAS </t>
  </si>
  <si>
    <t xml:space="preserve">Alto del cementerio </t>
  </si>
  <si>
    <t>CAMILA</t>
  </si>
  <si>
    <t>CALDERON</t>
  </si>
  <si>
    <t>ROJAS</t>
  </si>
  <si>
    <t>cami15252820.b@gmail.com</t>
  </si>
  <si>
    <t>LEIDY PAOLA BUITRAGO RESTREPO</t>
  </si>
  <si>
    <t>Calle 5#8-29</t>
  </si>
  <si>
    <t>YULIANA</t>
  </si>
  <si>
    <t>BUITRAGO</t>
  </si>
  <si>
    <t>karenbuitrago955@gmail.com</t>
  </si>
  <si>
    <t>INSTITUCION EDUCATIVA LA MILAGROSA</t>
  </si>
  <si>
    <t>INDIRA MARCELA GIRALDO BETANCUR</t>
  </si>
  <si>
    <t>calle 8 No. 6-04</t>
  </si>
  <si>
    <t>ANTONIA</t>
  </si>
  <si>
    <t>4/28/2010</t>
  </si>
  <si>
    <t>mantonialondono28@gmail.com</t>
  </si>
  <si>
    <t xml:space="preserve">JHON LÍDER OSPINA ZAPATA </t>
  </si>
  <si>
    <t>Carrera 7 # 9-52</t>
  </si>
  <si>
    <t>JHON</t>
  </si>
  <si>
    <t>ALEXANDER</t>
  </si>
  <si>
    <t>3/22/2010</t>
  </si>
  <si>
    <t>jhonalexanderospina912@gmail.com</t>
  </si>
  <si>
    <t>MARIA ANGELICA MAFLA GALEANO</t>
  </si>
  <si>
    <t xml:space="preserve">Vereda el  porvenir </t>
  </si>
  <si>
    <t>EDWIN</t>
  </si>
  <si>
    <t>MAFLA</t>
  </si>
  <si>
    <t>7/31/2009</t>
  </si>
  <si>
    <t>Maflaangelica7@gmail.com</t>
  </si>
  <si>
    <t>Línea 1 — Escuelas Normales Superiores</t>
  </si>
  <si>
    <t>INSTITUCION EDUCATIVA ESCUELA NORMAL SUPERIOR REBECA SIERRA CARDONA</t>
  </si>
  <si>
    <t>RENDON</t>
  </si>
  <si>
    <t>Adriana Maria Rendon Ortiz</t>
  </si>
  <si>
    <t>calle 9#1-39</t>
  </si>
  <si>
    <t>7/26/2010</t>
  </si>
  <si>
    <t>isabelasanchezrendon9@gmail.com</t>
  </si>
  <si>
    <t>INSTITUCION EDUCATIVA ESCUELA NORMAL SUPERIOR SAGRADO CORAZON</t>
  </si>
  <si>
    <t>Gloria Pilar Cerquera Martinez</t>
  </si>
  <si>
    <t>El matadero</t>
  </si>
  <si>
    <t>CERQUERA</t>
  </si>
  <si>
    <t>10/28/2009</t>
  </si>
  <si>
    <t>valen10282411@gmail.com</t>
  </si>
  <si>
    <t>Diana julietta Jaramillo Orozco</t>
  </si>
  <si>
    <t>Transversal 11 #13a89 barrio las palmas</t>
  </si>
  <si>
    <t>CRUZ</t>
  </si>
  <si>
    <t>3/13/2010</t>
  </si>
  <si>
    <t>marianacruzjaramillo130@gmail.com</t>
  </si>
  <si>
    <t>derly alexandra arenas ortiz</t>
  </si>
  <si>
    <t>cra 3 # 1 A 30 renan barco</t>
  </si>
  <si>
    <t>TRIANA</t>
  </si>
  <si>
    <t>ARENAS</t>
  </si>
  <si>
    <t>4/25/2010</t>
  </si>
  <si>
    <t>juancho08ale@gmail.com</t>
  </si>
  <si>
    <t>Alexis Andrea Ayala Bahos</t>
  </si>
  <si>
    <t>Cra 6 nro 40c 27</t>
  </si>
  <si>
    <t>AYALA</t>
  </si>
  <si>
    <t>miguel0spina1108@gmail.com</t>
  </si>
  <si>
    <t>INSTITUCION EDUCATIVA ESCUELA NORMAL SUPERIOR DE LA PRESENTACION</t>
  </si>
  <si>
    <t>Alba Ilda Rivera López</t>
  </si>
  <si>
    <t>Eco Betania</t>
  </si>
  <si>
    <t>WILLIAN</t>
  </si>
  <si>
    <t>RIVERA</t>
  </si>
  <si>
    <t>5/30/2009</t>
  </si>
  <si>
    <t>wflorezrivera@gmail.com</t>
  </si>
  <si>
    <t>MERY VALDERRAMA LOPERA</t>
  </si>
  <si>
    <t>CARRERA 12B CALLE 8 CASA 17</t>
  </si>
  <si>
    <t>SALOME</t>
  </si>
  <si>
    <t>VALDERRAMA</t>
  </si>
  <si>
    <t>6/18/2009</t>
  </si>
  <si>
    <t>salomecano486@gmail.com</t>
  </si>
  <si>
    <t>SERGIO ALEXANDER AFANADOR VARGAS</t>
  </si>
  <si>
    <t>CALLE 11B N 11B 05</t>
  </si>
  <si>
    <t>AFANADOR</t>
  </si>
  <si>
    <t>NARVAEZ</t>
  </si>
  <si>
    <t>sergioafanador17@hotmail.com</t>
  </si>
  <si>
    <t>Zulma Sorany Bueno Guapacha</t>
  </si>
  <si>
    <t>Vereda San Lorenzo Centro poblado</t>
  </si>
  <si>
    <t>BUENO</t>
  </si>
  <si>
    <t>8/23/2009</t>
  </si>
  <si>
    <t>zilmakm@gmail.com</t>
  </si>
  <si>
    <t>LEIDY JOHANA VILLADA ORTIZ</t>
  </si>
  <si>
    <t>CARRERA 5 AVENIDA FUNDADORES</t>
  </si>
  <si>
    <t>ROSSO</t>
  </si>
  <si>
    <t>VILLADA</t>
  </si>
  <si>
    <t>rossovsantiago@gmail.com</t>
  </si>
  <si>
    <t>PAULA ANDREA LARGO NARANJO</t>
  </si>
  <si>
    <t>CALLE 14A N 2-04</t>
  </si>
  <si>
    <t>HOYOS</t>
  </si>
  <si>
    <t>LARGO</t>
  </si>
  <si>
    <t>juanjo2000pezkoi@gmail.com</t>
  </si>
  <si>
    <t>MARIBEL GARCIA HERNANDEZ</t>
  </si>
  <si>
    <t>Avenida Fundadores</t>
  </si>
  <si>
    <t>LIZETH</t>
  </si>
  <si>
    <t>SAMANTHA</t>
  </si>
  <si>
    <t>valenciagarcializethsamanta@gmail.com</t>
  </si>
  <si>
    <t>DERLY TATIANA</t>
  </si>
  <si>
    <t>VEREDA LAS PARTIDAS</t>
  </si>
  <si>
    <t>CALVO</t>
  </si>
  <si>
    <t>sebasc03122009@gmail.com</t>
  </si>
  <si>
    <t>ANA JOSEFA MONTOYA SALAZAR</t>
  </si>
  <si>
    <t>VEREDA QUIEBRALOMO</t>
  </si>
  <si>
    <t>7/17/2010</t>
  </si>
  <si>
    <t>dianasofiamar96@gmail.com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</si>
</sst>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name val="Calibri"/>
      <family val="2"/>
    </font>
    <font>
      <b/>
      <sz val="9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C0E6F5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" fontId="8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/>
    </xf>
    <xf numFmtId="0" fontId="12" fillId="8" borderId="1" xfId="0" applyFont="1" applyFill="1" applyBorder="1" applyAlignment="1">
      <alignment horizontal="center" vertical="center" wrapText="1"/>
    </xf>
    <xf numFmtId="1" fontId="12" fillId="8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2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0010B2-90D3-4F95-9DE8-C40265B49871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086f1b6a-23e2-46d6-8535-439b2bb0880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D8E2-AE3A-4B1C-9819-97B41C8E4A9C}">
  <dimension ref="A1:AO88"/>
  <sheetViews>
    <sheetView tabSelected="1" workbookViewId="0"/>
  </sheetViews>
  <sheetFormatPr baseColWidth="10" defaultRowHeight="14.5" x14ac:dyDescent="0.35"/>
  <cols>
    <col min="1" max="1" width="41.81640625" style="33" bestFit="1" customWidth="1"/>
    <col min="2" max="2" width="10.81640625" style="33" bestFit="1" customWidth="1"/>
    <col min="3" max="3" width="11" style="33" bestFit="1" customWidth="1"/>
    <col min="4" max="4" width="9.81640625" style="33" bestFit="1" customWidth="1"/>
    <col min="5" max="5" width="11.1796875" style="33" bestFit="1" customWidth="1"/>
    <col min="6" max="6" width="11.81640625" style="33" bestFit="1" customWidth="1"/>
    <col min="7" max="7" width="17.90625" style="38" customWidth="1"/>
    <col min="8" max="8" width="71.7265625" style="33" bestFit="1" customWidth="1"/>
    <col min="9" max="9" width="12" style="33" bestFit="1" customWidth="1"/>
    <col min="10" max="10" width="87.54296875" style="33" bestFit="1" customWidth="1"/>
    <col min="11" max="11" width="8.26953125" style="33" bestFit="1" customWidth="1"/>
    <col min="12" max="12" width="10.54296875" style="33" bestFit="1" customWidth="1"/>
    <col min="13" max="13" width="7.26953125" style="33" bestFit="1" customWidth="1"/>
    <col min="14" max="14" width="36" style="33" bestFit="1" customWidth="1"/>
    <col min="15" max="15" width="11.26953125" style="33" bestFit="1" customWidth="1"/>
    <col min="16" max="16" width="21.7265625" style="33" bestFit="1" customWidth="1"/>
    <col min="17" max="17" width="51.1796875" style="33" bestFit="1" customWidth="1"/>
    <col min="18" max="18" width="11" style="33" bestFit="1" customWidth="1"/>
    <col min="19" max="19" width="41.1796875" style="33" bestFit="1" customWidth="1"/>
    <col min="20" max="20" width="11" style="33" bestFit="1" customWidth="1"/>
    <col min="21" max="21" width="11.54296875" style="33" bestFit="1" customWidth="1"/>
    <col min="22" max="22" width="11.1796875" style="33" bestFit="1" customWidth="1"/>
    <col min="23" max="23" width="13" style="33" bestFit="1" customWidth="1"/>
    <col min="24" max="24" width="12.54296875" style="33" bestFit="1" customWidth="1"/>
    <col min="25" max="25" width="10.90625" style="33"/>
    <col min="26" max="26" width="10.453125" style="33" bestFit="1" customWidth="1"/>
    <col min="27" max="27" width="10.54296875" style="33" bestFit="1" customWidth="1"/>
    <col min="28" max="28" width="4.81640625" style="33" bestFit="1" customWidth="1"/>
    <col min="29" max="29" width="6.453125" style="33" bestFit="1" customWidth="1"/>
    <col min="30" max="30" width="40.1796875" style="33" bestFit="1" customWidth="1"/>
    <col min="31" max="31" width="7.453125" style="33" bestFit="1" customWidth="1"/>
    <col min="32" max="32" width="21.54296875" style="33" bestFit="1" customWidth="1"/>
    <col min="33" max="33" width="16.453125" style="38" customWidth="1"/>
    <col min="34" max="38" width="10.90625" style="33"/>
    <col min="39" max="39" width="34.08984375" style="33" customWidth="1"/>
    <col min="40" max="40" width="17.81640625" style="33" customWidth="1"/>
    <col min="41" max="41" width="16.08984375" style="33" customWidth="1"/>
    <col min="42" max="16384" width="10.90625" style="33"/>
  </cols>
  <sheetData>
    <row r="1" spans="1:41" ht="48" x14ac:dyDescent="0.35">
      <c r="A1" s="31" t="s">
        <v>542</v>
      </c>
      <c r="B1" s="32" t="s">
        <v>543</v>
      </c>
      <c r="C1" s="22" t="s">
        <v>544</v>
      </c>
      <c r="D1" s="22" t="s">
        <v>545</v>
      </c>
      <c r="E1" s="22" t="s">
        <v>546</v>
      </c>
      <c r="F1" s="22" t="s">
        <v>547</v>
      </c>
      <c r="G1" s="23" t="s">
        <v>548</v>
      </c>
      <c r="H1" s="22" t="s">
        <v>549</v>
      </c>
      <c r="I1" s="22" t="s">
        <v>550</v>
      </c>
      <c r="J1" s="22" t="s">
        <v>551</v>
      </c>
      <c r="K1" s="22" t="s">
        <v>552</v>
      </c>
      <c r="L1" s="24" t="s">
        <v>553</v>
      </c>
      <c r="M1" s="25" t="s">
        <v>554</v>
      </c>
      <c r="N1" s="26" t="s">
        <v>555</v>
      </c>
      <c r="O1" s="26" t="s">
        <v>556</v>
      </c>
      <c r="P1" s="26" t="s">
        <v>557</v>
      </c>
      <c r="Q1" s="26" t="s">
        <v>558</v>
      </c>
      <c r="R1" s="26" t="s">
        <v>559</v>
      </c>
      <c r="S1" s="26" t="s">
        <v>560</v>
      </c>
      <c r="T1" s="27" t="s">
        <v>561</v>
      </c>
      <c r="U1" s="28" t="s">
        <v>562</v>
      </c>
      <c r="V1" s="28" t="s">
        <v>563</v>
      </c>
      <c r="W1" s="28" t="s">
        <v>564</v>
      </c>
      <c r="X1" s="28" t="s">
        <v>565</v>
      </c>
      <c r="Y1" s="28"/>
      <c r="Z1" s="28" t="s">
        <v>566</v>
      </c>
      <c r="AA1" s="29" t="s">
        <v>567</v>
      </c>
      <c r="AB1" s="28" t="s">
        <v>568</v>
      </c>
      <c r="AC1" s="28" t="s">
        <v>569</v>
      </c>
      <c r="AD1" s="28" t="s">
        <v>570</v>
      </c>
      <c r="AE1" s="28" t="s">
        <v>571</v>
      </c>
      <c r="AF1" s="30" t="s">
        <v>572</v>
      </c>
      <c r="AG1" s="40" t="s">
        <v>413</v>
      </c>
      <c r="AH1" s="39" t="s">
        <v>3</v>
      </c>
      <c r="AI1" s="39" t="s">
        <v>4</v>
      </c>
      <c r="AJ1" s="39" t="s">
        <v>5</v>
      </c>
      <c r="AK1" s="39" t="s">
        <v>6</v>
      </c>
      <c r="AL1" s="39" t="s">
        <v>7</v>
      </c>
      <c r="AM1" s="39" t="s">
        <v>8</v>
      </c>
      <c r="AN1" s="39" t="s">
        <v>9</v>
      </c>
      <c r="AO1" s="39" t="s">
        <v>10</v>
      </c>
    </row>
    <row r="2" spans="1:41" ht="62" customHeight="1" x14ac:dyDescent="0.35">
      <c r="A2" s="34" t="s">
        <v>573</v>
      </c>
      <c r="B2" s="34">
        <v>86471</v>
      </c>
      <c r="C2" s="34" t="s">
        <v>574</v>
      </c>
      <c r="D2" s="34" t="s">
        <v>575</v>
      </c>
      <c r="E2" s="34">
        <v>17013</v>
      </c>
      <c r="F2" s="34" t="s">
        <v>465</v>
      </c>
      <c r="G2" s="35">
        <v>117013000306</v>
      </c>
      <c r="H2" s="34" t="s">
        <v>576</v>
      </c>
      <c r="I2" s="34">
        <v>117013000306</v>
      </c>
      <c r="J2" s="34" t="s">
        <v>464</v>
      </c>
      <c r="K2" s="34" t="s">
        <v>577</v>
      </c>
      <c r="L2" s="34" t="s">
        <v>578</v>
      </c>
      <c r="M2" s="36">
        <v>1</v>
      </c>
      <c r="N2" s="34" t="s">
        <v>579</v>
      </c>
      <c r="O2" s="34">
        <v>24370801</v>
      </c>
      <c r="P2" s="34" t="s">
        <v>580</v>
      </c>
      <c r="Q2" s="34" t="s">
        <v>581</v>
      </c>
      <c r="R2" s="34">
        <v>3122614536</v>
      </c>
      <c r="S2" s="34" t="s">
        <v>582</v>
      </c>
      <c r="T2" s="34">
        <v>1059812839</v>
      </c>
      <c r="U2" s="34" t="s">
        <v>583</v>
      </c>
      <c r="V2" s="34" t="s">
        <v>584</v>
      </c>
      <c r="W2" s="34" t="s">
        <v>585</v>
      </c>
      <c r="X2" s="34" t="s">
        <v>586</v>
      </c>
      <c r="Y2" s="34"/>
      <c r="Z2" s="34" t="s">
        <v>587</v>
      </c>
      <c r="AA2" s="34">
        <v>15</v>
      </c>
      <c r="AB2" s="34" t="s">
        <v>588</v>
      </c>
      <c r="AC2" s="34">
        <v>11</v>
      </c>
      <c r="AD2" s="34" t="s">
        <v>589</v>
      </c>
      <c r="AE2" s="34"/>
      <c r="AF2" s="34" t="s">
        <v>590</v>
      </c>
      <c r="AG2" s="38" cm="1">
        <f t="array" ref="AG2:AO2">_xlfn.LET(_xlpm.n,COUNTIFS($B$2:$B2,$B2,$M$2:$M2,$M2),_xlpm.res,IF($M2=1,_xlfn._xlws.FILTER('TABLETAS ESTUDIANTES'!$C$2:$K$1000,'TABLETAS ESTUDIANTES'!$B$2:$B$1000=$B2),_xlfn._xlws.FILTER('PORTATIL ESTUDIANTES'!$C$2:$K$1000,'PORTATIL ESTUDIANTES'!$B$2:$B$1000=$B2)),IFERROR(INDEX(_xlpm.res,_xlpm.n,_xlfn.SEQUENCE(1,9)),""))</f>
        <v>117013000306</v>
      </c>
      <c r="AH2" s="33" t="str">
        <v>INSTITUCION EDUCATIVA MARINO GOMEZ ESTRADA - SEDE PRINCIPAL</v>
      </c>
      <c r="AI2" s="33" t="str">
        <v>Aguadas</v>
      </c>
      <c r="AJ2" s="33" t="str">
        <v>ENTIDAD TERRITORIAL</v>
      </c>
      <c r="AK2" s="33" t="str">
        <v>COMITÉ DE FOCALIZACION 2026</v>
      </c>
      <c r="AL2" s="33">
        <v>45053</v>
      </c>
      <c r="AM2" s="33" t="str">
        <v>BT TABLETA LENOVO IDEA TAB PRO  CTO 158-25</v>
      </c>
      <c r="AN2" s="33">
        <v>1</v>
      </c>
      <c r="AO2" s="33" t="str">
        <v>HA2HES5G</v>
      </c>
    </row>
    <row r="3" spans="1:41" ht="116" x14ac:dyDescent="0.35">
      <c r="A3" s="34" t="s">
        <v>573</v>
      </c>
      <c r="B3" s="34">
        <v>86471</v>
      </c>
      <c r="C3" s="34" t="s">
        <v>574</v>
      </c>
      <c r="D3" s="34" t="s">
        <v>575</v>
      </c>
      <c r="E3" s="34">
        <v>17013</v>
      </c>
      <c r="F3" s="34" t="s">
        <v>465</v>
      </c>
      <c r="G3" s="35">
        <v>117013000306</v>
      </c>
      <c r="H3" s="34" t="s">
        <v>576</v>
      </c>
      <c r="I3" s="34">
        <v>117013000306</v>
      </c>
      <c r="J3" s="34" t="s">
        <v>464</v>
      </c>
      <c r="K3" s="34" t="s">
        <v>577</v>
      </c>
      <c r="L3" s="34" t="s">
        <v>578</v>
      </c>
      <c r="M3" s="36">
        <v>1</v>
      </c>
      <c r="N3" s="34" t="s">
        <v>591</v>
      </c>
      <c r="O3" s="34">
        <v>24370572</v>
      </c>
      <c r="P3" s="34" t="s">
        <v>580</v>
      </c>
      <c r="Q3" s="34" t="s">
        <v>592</v>
      </c>
      <c r="R3" s="34">
        <v>3117820297</v>
      </c>
      <c r="S3" s="34" t="s">
        <v>593</v>
      </c>
      <c r="T3" s="34">
        <v>1059812816</v>
      </c>
      <c r="U3" s="34" t="s">
        <v>594</v>
      </c>
      <c r="V3" s="34">
        <v>0</v>
      </c>
      <c r="W3" s="34" t="s">
        <v>595</v>
      </c>
      <c r="X3" s="34" t="s">
        <v>596</v>
      </c>
      <c r="Y3" s="34"/>
      <c r="Z3" s="34" t="s">
        <v>597</v>
      </c>
      <c r="AA3" s="34">
        <v>16</v>
      </c>
      <c r="AB3" s="34" t="s">
        <v>598</v>
      </c>
      <c r="AC3" s="34">
        <v>11</v>
      </c>
      <c r="AD3" s="34" t="s">
        <v>599</v>
      </c>
      <c r="AE3" s="34"/>
      <c r="AF3" s="34" t="s">
        <v>590</v>
      </c>
      <c r="AG3" s="38" cm="1">
        <f t="array" ref="AG3:AO3">_xlfn.LET(_xlpm.n,COUNTIFS($B$2:$B3,$B3,$M$2:$M3,$M3),_xlpm.res,IF($M3=1,_xlfn._xlws.FILTER('TABLETAS ESTUDIANTES'!$C$2:$K$1000,'TABLETAS ESTUDIANTES'!$B$2:$B$1000=$B3),_xlfn._xlws.FILTER('PORTATIL ESTUDIANTES'!$C$2:$K$1000,'PORTATIL ESTUDIANTES'!$B$2:$B$1000=$B3)),IFERROR(INDEX(_xlpm.res,_xlpm.n,_xlfn.SEQUENCE(1,9)),""))</f>
        <v>117013000306</v>
      </c>
      <c r="AH3" s="33" t="str">
        <v>INSTITUCION EDUCATIVA MARINO GOMEZ ESTRADA - SEDE PRINCIPAL</v>
      </c>
      <c r="AI3" s="33" t="str">
        <v>Aguadas</v>
      </c>
      <c r="AJ3" s="33" t="str">
        <v>ENTIDAD TERRITORIAL</v>
      </c>
      <c r="AK3" s="33" t="str">
        <v>COMITÉ DE FOCALIZACION 2026</v>
      </c>
      <c r="AL3" s="33">
        <v>45053</v>
      </c>
      <c r="AM3" s="33" t="str">
        <v>BT TABLETA LENOVO IDEA TAB PRO  CTO 158-25</v>
      </c>
      <c r="AN3" s="33">
        <v>1</v>
      </c>
      <c r="AO3" s="33" t="str">
        <v>HA2HDZEV</v>
      </c>
    </row>
    <row r="4" spans="1:41" ht="87" x14ac:dyDescent="0.35">
      <c r="A4" s="34" t="s">
        <v>573</v>
      </c>
      <c r="B4" s="34">
        <v>32741</v>
      </c>
      <c r="C4" s="34" t="s">
        <v>574</v>
      </c>
      <c r="D4" s="34" t="s">
        <v>575</v>
      </c>
      <c r="E4" s="34">
        <v>17088</v>
      </c>
      <c r="F4" s="34" t="s">
        <v>470</v>
      </c>
      <c r="G4" s="35">
        <v>117088000255</v>
      </c>
      <c r="H4" s="34" t="s">
        <v>600</v>
      </c>
      <c r="I4" s="34">
        <v>117088000255</v>
      </c>
      <c r="J4" s="34" t="s">
        <v>469</v>
      </c>
      <c r="K4" s="34" t="s">
        <v>577</v>
      </c>
      <c r="L4" s="34" t="s">
        <v>578</v>
      </c>
      <c r="M4" s="36">
        <v>1</v>
      </c>
      <c r="N4" s="34" t="s">
        <v>601</v>
      </c>
      <c r="O4" s="34">
        <v>24527859</v>
      </c>
      <c r="P4" s="34" t="s">
        <v>580</v>
      </c>
      <c r="Q4" s="34" t="s">
        <v>602</v>
      </c>
      <c r="R4" s="34">
        <v>3233775928</v>
      </c>
      <c r="S4" s="34" t="s">
        <v>603</v>
      </c>
      <c r="T4" s="34">
        <v>1054480366</v>
      </c>
      <c r="U4" s="34" t="s">
        <v>604</v>
      </c>
      <c r="V4" s="34" t="s">
        <v>605</v>
      </c>
      <c r="W4" s="34" t="s">
        <v>606</v>
      </c>
      <c r="X4" s="34" t="s">
        <v>607</v>
      </c>
      <c r="Y4" s="34"/>
      <c r="Z4" s="34" t="s">
        <v>608</v>
      </c>
      <c r="AA4" s="34">
        <v>16</v>
      </c>
      <c r="AB4" s="34" t="s">
        <v>598</v>
      </c>
      <c r="AC4" s="34">
        <v>11</v>
      </c>
      <c r="AD4" s="34" t="s">
        <v>603</v>
      </c>
      <c r="AE4" s="34"/>
      <c r="AF4" s="34" t="s">
        <v>590</v>
      </c>
      <c r="AG4" s="38" cm="1">
        <f t="array" ref="AG4:AO4">_xlfn.LET(_xlpm.n,COUNTIFS($B$2:$B4,$B4,$M$2:$M4,$M4),_xlpm.res,IF($M4=1,_xlfn._xlws.FILTER('TABLETAS ESTUDIANTES'!$C$2:$K$1000,'TABLETAS ESTUDIANTES'!$B$2:$B$1000=$B4),_xlfn._xlws.FILTER('PORTATIL ESTUDIANTES'!$C$2:$K$1000,'PORTATIL ESTUDIANTES'!$B$2:$B$1000=$B4)),IFERROR(INDEX(_xlpm.res,_xlpm.n,_xlfn.SEQUENCE(1,9)),""))</f>
        <v>117088000255</v>
      </c>
      <c r="AH4" s="33" t="str">
        <v>INSTITUCION EDUCATIVA CRISTO REY - SEDE PRINCIPAL</v>
      </c>
      <c r="AI4" s="33" t="str">
        <v>Belalcázar</v>
      </c>
      <c r="AJ4" s="33" t="str">
        <v>ENTIDAD TERRITORIAL</v>
      </c>
      <c r="AK4" s="33" t="str">
        <v>COMITÉ DE FOCALIZACION 2026</v>
      </c>
      <c r="AL4" s="33">
        <v>45053</v>
      </c>
      <c r="AM4" s="33" t="str">
        <v>BT TABLETA LENOVO IDEA TAB PRO  CTO 158-25</v>
      </c>
      <c r="AN4" s="33">
        <v>1</v>
      </c>
      <c r="AO4" s="33" t="str">
        <v>HA2HF5YE</v>
      </c>
    </row>
    <row r="5" spans="1:41" ht="87" x14ac:dyDescent="0.35">
      <c r="A5" s="34" t="s">
        <v>573</v>
      </c>
      <c r="B5" s="34">
        <v>32741</v>
      </c>
      <c r="C5" s="34" t="s">
        <v>574</v>
      </c>
      <c r="D5" s="34" t="s">
        <v>575</v>
      </c>
      <c r="E5" s="34">
        <v>17088</v>
      </c>
      <c r="F5" s="34" t="s">
        <v>470</v>
      </c>
      <c r="G5" s="35">
        <v>117088000255</v>
      </c>
      <c r="H5" s="34" t="s">
        <v>600</v>
      </c>
      <c r="I5" s="34">
        <v>117088000255</v>
      </c>
      <c r="J5" s="34" t="s">
        <v>469</v>
      </c>
      <c r="K5" s="34" t="s">
        <v>577</v>
      </c>
      <c r="L5" s="34" t="s">
        <v>578</v>
      </c>
      <c r="M5" s="36">
        <v>1</v>
      </c>
      <c r="N5" s="34" t="s">
        <v>609</v>
      </c>
      <c r="O5" s="34">
        <v>24529213</v>
      </c>
      <c r="P5" s="34" t="s">
        <v>580</v>
      </c>
      <c r="Q5" s="34" t="s">
        <v>610</v>
      </c>
      <c r="R5" s="34">
        <v>3105105065</v>
      </c>
      <c r="S5" s="34" t="s">
        <v>611</v>
      </c>
      <c r="T5" s="34">
        <v>1089606334</v>
      </c>
      <c r="U5" s="34" t="s">
        <v>605</v>
      </c>
      <c r="V5" s="34" t="s">
        <v>612</v>
      </c>
      <c r="W5" s="34" t="s">
        <v>613</v>
      </c>
      <c r="X5" s="34" t="s">
        <v>614</v>
      </c>
      <c r="Y5" s="34"/>
      <c r="Z5" s="37">
        <v>40154</v>
      </c>
      <c r="AA5" s="34">
        <v>16</v>
      </c>
      <c r="AB5" s="34" t="s">
        <v>598</v>
      </c>
      <c r="AC5" s="34">
        <v>11</v>
      </c>
      <c r="AD5" s="34" t="s">
        <v>615</v>
      </c>
      <c r="AE5" s="34"/>
      <c r="AF5" s="34" t="s">
        <v>590</v>
      </c>
      <c r="AG5" s="38" cm="1">
        <f t="array" ref="AG5:AO5">_xlfn.LET(_xlpm.n,COUNTIFS($B$2:$B5,$B5,$M$2:$M5,$M5),_xlpm.res,IF($M5=1,_xlfn._xlws.FILTER('TABLETAS ESTUDIANTES'!$C$2:$K$1000,'TABLETAS ESTUDIANTES'!$B$2:$B$1000=$B5),_xlfn._xlws.FILTER('PORTATIL ESTUDIANTES'!$C$2:$K$1000,'PORTATIL ESTUDIANTES'!$B$2:$B$1000=$B5)),IFERROR(INDEX(_xlpm.res,_xlpm.n,_xlfn.SEQUENCE(1,9)),""))</f>
        <v>117088000255</v>
      </c>
      <c r="AH5" s="33" t="str">
        <v>INSTITUCION EDUCATIVA CRISTO REY - SEDE PRINCIPAL</v>
      </c>
      <c r="AI5" s="33" t="str">
        <v>Belalcázar</v>
      </c>
      <c r="AJ5" s="33" t="str">
        <v>ENTIDAD TERRITORIAL</v>
      </c>
      <c r="AK5" s="33" t="str">
        <v>COMITÉ DE FOCALIZACION 2026</v>
      </c>
      <c r="AL5" s="33">
        <v>45053</v>
      </c>
      <c r="AM5" s="33" t="str">
        <v>BT TABLETA LENOVO IDEA TAB PRO  CTO 158-25</v>
      </c>
      <c r="AN5" s="33">
        <v>1</v>
      </c>
      <c r="AO5" s="33" t="str">
        <v>HA2HFL9K</v>
      </c>
    </row>
    <row r="6" spans="1:41" ht="87" x14ac:dyDescent="0.35">
      <c r="A6" s="34" t="s">
        <v>573</v>
      </c>
      <c r="B6" s="34">
        <v>32741</v>
      </c>
      <c r="C6" s="34" t="s">
        <v>574</v>
      </c>
      <c r="D6" s="34" t="s">
        <v>575</v>
      </c>
      <c r="E6" s="34">
        <v>17088</v>
      </c>
      <c r="F6" s="34" t="s">
        <v>470</v>
      </c>
      <c r="G6" s="35">
        <v>117088000255</v>
      </c>
      <c r="H6" s="34" t="s">
        <v>600</v>
      </c>
      <c r="I6" s="34">
        <v>117088000255</v>
      </c>
      <c r="J6" s="34" t="s">
        <v>469</v>
      </c>
      <c r="K6" s="34" t="s">
        <v>577</v>
      </c>
      <c r="L6" s="34" t="s">
        <v>578</v>
      </c>
      <c r="M6" s="36">
        <v>1</v>
      </c>
      <c r="N6" s="34" t="s">
        <v>616</v>
      </c>
      <c r="O6" s="34">
        <v>24730051</v>
      </c>
      <c r="P6" s="34" t="s">
        <v>580</v>
      </c>
      <c r="Q6" s="34" t="s">
        <v>617</v>
      </c>
      <c r="R6" s="34">
        <v>3137632393</v>
      </c>
      <c r="S6" s="34" t="s">
        <v>618</v>
      </c>
      <c r="T6" s="34">
        <v>1055890618</v>
      </c>
      <c r="U6" s="34" t="s">
        <v>619</v>
      </c>
      <c r="V6" s="34">
        <v>0</v>
      </c>
      <c r="W6" s="34" t="s">
        <v>620</v>
      </c>
      <c r="X6" s="34" t="s">
        <v>621</v>
      </c>
      <c r="Y6" s="34"/>
      <c r="Z6" s="37">
        <v>40423</v>
      </c>
      <c r="AA6" s="34">
        <v>16</v>
      </c>
      <c r="AB6" s="34" t="s">
        <v>598</v>
      </c>
      <c r="AC6" s="34">
        <v>11</v>
      </c>
      <c r="AD6" s="34" t="s">
        <v>622</v>
      </c>
      <c r="AE6" s="34"/>
      <c r="AF6" s="34" t="s">
        <v>590</v>
      </c>
      <c r="AG6" s="38" cm="1">
        <f t="array" ref="AG6:AO6">_xlfn.LET(_xlpm.n,COUNTIFS($B$2:$B6,$B6,$M$2:$M6,$M6),_xlpm.res,IF($M6=1,_xlfn._xlws.FILTER('TABLETAS ESTUDIANTES'!$C$2:$K$1000,'TABLETAS ESTUDIANTES'!$B$2:$B$1000=$B6),_xlfn._xlws.FILTER('PORTATIL ESTUDIANTES'!$C$2:$K$1000,'PORTATIL ESTUDIANTES'!$B$2:$B$1000=$B6)),IFERROR(INDEX(_xlpm.res,_xlpm.n,_xlfn.SEQUENCE(1,9)),""))</f>
        <v>117088000255</v>
      </c>
      <c r="AH6" s="33" t="str">
        <v>INSTITUCION EDUCATIVA CRISTO REY - SEDE PRINCIPAL</v>
      </c>
      <c r="AI6" s="33" t="str">
        <v>Belalcázar</v>
      </c>
      <c r="AJ6" s="33" t="str">
        <v>ENTIDAD TERRITORIAL</v>
      </c>
      <c r="AK6" s="33" t="str">
        <v>COMITÉ DE FOCALIZACION 2026</v>
      </c>
      <c r="AL6" s="33">
        <v>45053</v>
      </c>
      <c r="AM6" s="33" t="str">
        <v>BT TABLETA LENOVO IDEA TAB PRO  CTO 158-25</v>
      </c>
      <c r="AN6" s="33">
        <v>1</v>
      </c>
      <c r="AO6" s="33" t="str">
        <v>HA2HF3WN</v>
      </c>
    </row>
    <row r="7" spans="1:41" ht="87" x14ac:dyDescent="0.35">
      <c r="A7" s="34" t="s">
        <v>573</v>
      </c>
      <c r="B7" s="34">
        <v>32741</v>
      </c>
      <c r="C7" s="34" t="s">
        <v>574</v>
      </c>
      <c r="D7" s="34" t="s">
        <v>575</v>
      </c>
      <c r="E7" s="34">
        <v>17088</v>
      </c>
      <c r="F7" s="34" t="s">
        <v>470</v>
      </c>
      <c r="G7" s="35">
        <v>117088000255</v>
      </c>
      <c r="H7" s="34" t="s">
        <v>600</v>
      </c>
      <c r="I7" s="34">
        <v>117088000255</v>
      </c>
      <c r="J7" s="34" t="s">
        <v>469</v>
      </c>
      <c r="K7" s="34" t="s">
        <v>577</v>
      </c>
      <c r="L7" s="34" t="s">
        <v>578</v>
      </c>
      <c r="M7" s="36">
        <v>1</v>
      </c>
      <c r="N7" s="34" t="s">
        <v>623</v>
      </c>
      <c r="O7" s="34">
        <v>1057756935</v>
      </c>
      <c r="P7" s="34" t="s">
        <v>580</v>
      </c>
      <c r="Q7" s="34" t="s">
        <v>624</v>
      </c>
      <c r="R7" s="34">
        <v>3216373490</v>
      </c>
      <c r="S7" s="34" t="s">
        <v>625</v>
      </c>
      <c r="T7" s="34">
        <v>1057757797</v>
      </c>
      <c r="U7" s="34" t="s">
        <v>626</v>
      </c>
      <c r="V7" s="34" t="s">
        <v>626</v>
      </c>
      <c r="W7" s="34" t="s">
        <v>627</v>
      </c>
      <c r="X7" s="34" t="s">
        <v>628</v>
      </c>
      <c r="Y7" s="34"/>
      <c r="Z7" s="37">
        <v>39908</v>
      </c>
      <c r="AA7" s="34">
        <v>16</v>
      </c>
      <c r="AB7" s="34" t="s">
        <v>598</v>
      </c>
      <c r="AC7" s="34">
        <v>11</v>
      </c>
      <c r="AD7" s="34" t="s">
        <v>629</v>
      </c>
      <c r="AE7" s="34"/>
      <c r="AF7" s="34" t="s">
        <v>590</v>
      </c>
      <c r="AG7" s="38" cm="1">
        <f t="array" ref="AG7:AO7">_xlfn.LET(_xlpm.n,COUNTIFS($B$2:$B7,$B7,$M$2:$M7,$M7),_xlpm.res,IF($M7=1,_xlfn._xlws.FILTER('TABLETAS ESTUDIANTES'!$C$2:$K$1000,'TABLETAS ESTUDIANTES'!$B$2:$B$1000=$B7),_xlfn._xlws.FILTER('PORTATIL ESTUDIANTES'!$C$2:$K$1000,'PORTATIL ESTUDIANTES'!$B$2:$B$1000=$B7)),IFERROR(INDEX(_xlpm.res,_xlpm.n,_xlfn.SEQUENCE(1,9)),""))</f>
        <v>117088000255</v>
      </c>
      <c r="AH7" s="33" t="str">
        <v>INSTITUCION EDUCATIVA CRISTO REY - SEDE PRINCIPAL</v>
      </c>
      <c r="AI7" s="33" t="str">
        <v>Belalcázar</v>
      </c>
      <c r="AJ7" s="33" t="str">
        <v>ENTIDAD TERRITORIAL</v>
      </c>
      <c r="AK7" s="33" t="str">
        <v>COMITÉ DE FOCALIZACION 2026</v>
      </c>
      <c r="AL7" s="33">
        <v>45053</v>
      </c>
      <c r="AM7" s="33" t="str">
        <v>BT TABLETA LENOVO IDEA TAB PRO  CTO 158-25</v>
      </c>
      <c r="AN7" s="33">
        <v>1</v>
      </c>
      <c r="AO7" s="33" t="str">
        <v>HA2HEQ33</v>
      </c>
    </row>
    <row r="8" spans="1:41" ht="116" x14ac:dyDescent="0.35">
      <c r="A8" s="34" t="s">
        <v>573</v>
      </c>
      <c r="B8" s="34">
        <v>32751</v>
      </c>
      <c r="C8" s="34" t="s">
        <v>574</v>
      </c>
      <c r="D8" s="34" t="s">
        <v>575</v>
      </c>
      <c r="E8" s="34">
        <v>17174</v>
      </c>
      <c r="F8" s="34" t="s">
        <v>476</v>
      </c>
      <c r="G8" s="35">
        <v>117174000292</v>
      </c>
      <c r="H8" s="34" t="s">
        <v>630</v>
      </c>
      <c r="I8" s="34">
        <v>117174000292</v>
      </c>
      <c r="J8" s="34" t="s">
        <v>475</v>
      </c>
      <c r="K8" s="34" t="s">
        <v>577</v>
      </c>
      <c r="L8" s="34" t="s">
        <v>578</v>
      </c>
      <c r="M8" s="36">
        <v>1</v>
      </c>
      <c r="N8" s="34" t="s">
        <v>631</v>
      </c>
      <c r="O8" s="34">
        <v>1054986419</v>
      </c>
      <c r="P8" s="34" t="s">
        <v>580</v>
      </c>
      <c r="Q8" s="34" t="s">
        <v>632</v>
      </c>
      <c r="R8" s="34">
        <v>3218718906</v>
      </c>
      <c r="S8" s="34" t="s">
        <v>633</v>
      </c>
      <c r="T8" s="34">
        <v>1054869093</v>
      </c>
      <c r="U8" s="34" t="s">
        <v>634</v>
      </c>
      <c r="V8" s="34" t="s">
        <v>635</v>
      </c>
      <c r="W8" s="34" t="s">
        <v>636</v>
      </c>
      <c r="X8" s="34" t="s">
        <v>637</v>
      </c>
      <c r="Y8" s="34"/>
      <c r="Z8" s="34" t="s">
        <v>638</v>
      </c>
      <c r="AA8" s="34">
        <v>17</v>
      </c>
      <c r="AB8" s="34" t="s">
        <v>598</v>
      </c>
      <c r="AC8" s="34">
        <v>11</v>
      </c>
      <c r="AD8" s="34" t="s">
        <v>633</v>
      </c>
      <c r="AE8" s="34"/>
      <c r="AF8" s="34" t="s">
        <v>590</v>
      </c>
      <c r="AG8" s="38" cm="1">
        <f t="array" ref="AG8:AO8">_xlfn.LET(_xlpm.n,COUNTIFS($B$2:$B8,$B8,$M$2:$M8,$M8),_xlpm.res,IF($M8=1,_xlfn._xlws.FILTER('TABLETAS ESTUDIANTES'!$C$2:$K$1000,'TABLETAS ESTUDIANTES'!$B$2:$B$1000=$B8),_xlfn._xlws.FILTER('PORTATIL ESTUDIANTES'!$C$2:$K$1000,'PORTATIL ESTUDIANTES'!$B$2:$B$1000=$B8)),IFERROR(INDEX(_xlpm.res,_xlpm.n,_xlfn.SEQUENCE(1,9)),""))</f>
        <v>117174000292</v>
      </c>
      <c r="AH8" s="33" t="str">
        <v>INSTITUCIÓN EDUCATIVA SAN FRANCISCO DE PAULA - SEDE PRINCIPAL</v>
      </c>
      <c r="AI8" s="33" t="str">
        <v>Chinchiná</v>
      </c>
      <c r="AJ8" s="33" t="str">
        <v>ENTIDAD TERRITORIAL</v>
      </c>
      <c r="AK8" s="33" t="str">
        <v>COMITÉ DE FOCALIZACION 2026</v>
      </c>
      <c r="AL8" s="33">
        <v>45053</v>
      </c>
      <c r="AM8" s="33" t="str">
        <v>BT TABLETA LENOVO IDEA TAB PRO  CTO 158-25</v>
      </c>
      <c r="AN8" s="33">
        <v>1</v>
      </c>
      <c r="AO8" s="33" t="str">
        <v>HA2HFZ91</v>
      </c>
    </row>
    <row r="9" spans="1:41" ht="101.5" x14ac:dyDescent="0.35">
      <c r="A9" s="34" t="s">
        <v>573</v>
      </c>
      <c r="B9" s="34">
        <v>18499</v>
      </c>
      <c r="C9" s="34" t="s">
        <v>574</v>
      </c>
      <c r="D9" s="34" t="s">
        <v>575</v>
      </c>
      <c r="E9" s="34">
        <v>17174</v>
      </c>
      <c r="F9" s="34" t="s">
        <v>476</v>
      </c>
      <c r="G9" s="35">
        <v>117174000349</v>
      </c>
      <c r="H9" s="34" t="s">
        <v>639</v>
      </c>
      <c r="I9" s="34">
        <v>117174000349</v>
      </c>
      <c r="J9" s="34" t="s">
        <v>478</v>
      </c>
      <c r="K9" s="34" t="s">
        <v>577</v>
      </c>
      <c r="L9" s="34" t="s">
        <v>578</v>
      </c>
      <c r="M9" s="36">
        <v>1</v>
      </c>
      <c r="N9" s="34" t="s">
        <v>640</v>
      </c>
      <c r="O9" s="34">
        <v>38561494</v>
      </c>
      <c r="P9" s="34" t="s">
        <v>580</v>
      </c>
      <c r="Q9" s="34" t="s">
        <v>641</v>
      </c>
      <c r="R9" s="34">
        <v>3227937549</v>
      </c>
      <c r="S9" s="34" t="s">
        <v>642</v>
      </c>
      <c r="T9" s="34">
        <v>1107859445</v>
      </c>
      <c r="U9" s="34" t="s">
        <v>643</v>
      </c>
      <c r="V9" s="34" t="s">
        <v>644</v>
      </c>
      <c r="W9" s="34" t="s">
        <v>645</v>
      </c>
      <c r="X9" s="34" t="s">
        <v>596</v>
      </c>
      <c r="Y9" s="34"/>
      <c r="Z9" s="34" t="s">
        <v>646</v>
      </c>
      <c r="AA9" s="34">
        <v>16</v>
      </c>
      <c r="AB9" s="34" t="s">
        <v>598</v>
      </c>
      <c r="AC9" s="34">
        <v>11</v>
      </c>
      <c r="AD9" s="34" t="s">
        <v>647</v>
      </c>
      <c r="AE9" s="34"/>
      <c r="AF9" s="34" t="s">
        <v>590</v>
      </c>
      <c r="AG9" s="38" cm="1">
        <f t="array" ref="AG9:AO9">_xlfn.LET(_xlpm.n,COUNTIFS($B$2:$B9,$B9,$M$2:$M9,$M9),_xlpm.res,IF($M9=1,_xlfn._xlws.FILTER('TABLETAS ESTUDIANTES'!$C$2:$K$1000,'TABLETAS ESTUDIANTES'!$B$2:$B$1000=$B9),_xlfn._xlws.FILTER('PORTATIL ESTUDIANTES'!$C$2:$K$1000,'PORTATIL ESTUDIANTES'!$B$2:$B$1000=$B9)),IFERROR(INDEX(_xlpm.res,_xlpm.n,_xlfn.SEQUENCE(1,9)),""))</f>
        <v>117174000349</v>
      </c>
      <c r="AH9" s="33" t="str">
        <v>INSTITUCIÓN EDUCATIVA SANTA TERESITA - SEDE PRINCIPAL</v>
      </c>
      <c r="AI9" s="33" t="str">
        <v>Chinchiná</v>
      </c>
      <c r="AJ9" s="33" t="str">
        <v>ENTIDAD TERRITORIAL</v>
      </c>
      <c r="AK9" s="33" t="str">
        <v>COMITÉ DE FOCALIZACION 2026</v>
      </c>
      <c r="AL9" s="33">
        <v>45053</v>
      </c>
      <c r="AM9" s="33" t="str">
        <v>BT TABLETA LENOVO IDEA TAB PRO  CTO 158-25</v>
      </c>
      <c r="AN9" s="33">
        <v>1</v>
      </c>
      <c r="AO9" s="33" t="str">
        <v>HA2HG0GP</v>
      </c>
    </row>
    <row r="10" spans="1:41" ht="101.5" x14ac:dyDescent="0.35">
      <c r="A10" s="34" t="s">
        <v>573</v>
      </c>
      <c r="B10" s="34">
        <v>18499</v>
      </c>
      <c r="C10" s="34" t="s">
        <v>574</v>
      </c>
      <c r="D10" s="34" t="s">
        <v>575</v>
      </c>
      <c r="E10" s="34">
        <v>17174</v>
      </c>
      <c r="F10" s="34" t="s">
        <v>476</v>
      </c>
      <c r="G10" s="35">
        <v>117174000349</v>
      </c>
      <c r="H10" s="34" t="s">
        <v>639</v>
      </c>
      <c r="I10" s="34">
        <v>117174000349</v>
      </c>
      <c r="J10" s="34" t="s">
        <v>478</v>
      </c>
      <c r="K10" s="34" t="s">
        <v>577</v>
      </c>
      <c r="L10" s="34" t="s">
        <v>578</v>
      </c>
      <c r="M10" s="36">
        <v>1</v>
      </c>
      <c r="N10" s="34" t="s">
        <v>648</v>
      </c>
      <c r="O10" s="34">
        <v>18399293</v>
      </c>
      <c r="P10" s="34" t="s">
        <v>649</v>
      </c>
      <c r="Q10" s="34" t="s">
        <v>650</v>
      </c>
      <c r="R10" s="34">
        <v>3146061304</v>
      </c>
      <c r="S10" s="34" t="s">
        <v>651</v>
      </c>
      <c r="T10" s="34">
        <v>1054871365</v>
      </c>
      <c r="U10" s="34" t="s">
        <v>652</v>
      </c>
      <c r="V10" s="34">
        <v>0</v>
      </c>
      <c r="W10" s="34" t="s">
        <v>653</v>
      </c>
      <c r="X10" s="34" t="s">
        <v>653</v>
      </c>
      <c r="Y10" s="34"/>
      <c r="Z10" s="37">
        <v>39911</v>
      </c>
      <c r="AA10" s="34">
        <v>16</v>
      </c>
      <c r="AB10" s="34" t="s">
        <v>588</v>
      </c>
      <c r="AC10" s="34">
        <v>11</v>
      </c>
      <c r="AD10" s="34" t="s">
        <v>654</v>
      </c>
      <c r="AE10" s="34"/>
      <c r="AF10" s="34" t="s">
        <v>590</v>
      </c>
      <c r="AG10" s="38" cm="1">
        <f t="array" ref="AG10:AO10">_xlfn.LET(_xlpm.n,COUNTIFS($B$2:$B10,$B10,$M$2:$M10,$M10),_xlpm.res,IF($M10=1,_xlfn._xlws.FILTER('TABLETAS ESTUDIANTES'!$C$2:$K$1000,'TABLETAS ESTUDIANTES'!$B$2:$B$1000=$B10),_xlfn._xlws.FILTER('PORTATIL ESTUDIANTES'!$C$2:$K$1000,'PORTATIL ESTUDIANTES'!$B$2:$B$1000=$B10)),IFERROR(INDEX(_xlpm.res,_xlpm.n,_xlfn.SEQUENCE(1,9)),""))</f>
        <v>117174000349</v>
      </c>
      <c r="AH10" s="33" t="str">
        <v>INSTITUCIÓN EDUCATIVA SANTA TERESITA - SEDE PRINCIPAL</v>
      </c>
      <c r="AI10" s="33" t="str">
        <v>Chinchiná</v>
      </c>
      <c r="AJ10" s="33" t="str">
        <v>ENTIDAD TERRITORIAL</v>
      </c>
      <c r="AK10" s="33" t="str">
        <v>COMITÉ DE FOCALIZACION 2026</v>
      </c>
      <c r="AL10" s="33">
        <v>45053</v>
      </c>
      <c r="AM10" s="33" t="str">
        <v>BT TABLETA LENOVO IDEA TAB PRO  CTO 158-25</v>
      </c>
      <c r="AN10" s="33">
        <v>1</v>
      </c>
      <c r="AO10" s="33" t="str">
        <v>HA2HES59</v>
      </c>
    </row>
    <row r="11" spans="1:41" ht="101.5" x14ac:dyDescent="0.35">
      <c r="A11" s="34" t="s">
        <v>573</v>
      </c>
      <c r="B11" s="34">
        <v>18499</v>
      </c>
      <c r="C11" s="34" t="s">
        <v>574</v>
      </c>
      <c r="D11" s="34" t="s">
        <v>575</v>
      </c>
      <c r="E11" s="34">
        <v>17174</v>
      </c>
      <c r="F11" s="34" t="s">
        <v>476</v>
      </c>
      <c r="G11" s="35">
        <v>117174000349</v>
      </c>
      <c r="H11" s="34" t="s">
        <v>639</v>
      </c>
      <c r="I11" s="34">
        <v>117174000349</v>
      </c>
      <c r="J11" s="34" t="s">
        <v>478</v>
      </c>
      <c r="K11" s="34" t="s">
        <v>577</v>
      </c>
      <c r="L11" s="34" t="s">
        <v>578</v>
      </c>
      <c r="M11" s="36">
        <v>1</v>
      </c>
      <c r="N11" s="34" t="s">
        <v>655</v>
      </c>
      <c r="O11" s="34">
        <v>1088261904</v>
      </c>
      <c r="P11" s="34" t="s">
        <v>580</v>
      </c>
      <c r="Q11" s="34" t="s">
        <v>656</v>
      </c>
      <c r="R11" s="34">
        <v>3106423884</v>
      </c>
      <c r="S11" s="34" t="s">
        <v>657</v>
      </c>
      <c r="T11" s="34">
        <v>1137061910</v>
      </c>
      <c r="U11" s="34" t="s">
        <v>658</v>
      </c>
      <c r="V11" s="34">
        <v>0</v>
      </c>
      <c r="W11" s="34" t="s">
        <v>645</v>
      </c>
      <c r="X11" s="34" t="s">
        <v>659</v>
      </c>
      <c r="Y11" s="34"/>
      <c r="Z11" s="37">
        <v>39883</v>
      </c>
      <c r="AA11" s="34">
        <v>16</v>
      </c>
      <c r="AB11" s="34" t="s">
        <v>588</v>
      </c>
      <c r="AC11" s="34">
        <v>11</v>
      </c>
      <c r="AD11" s="34" t="s">
        <v>660</v>
      </c>
      <c r="AE11" s="34"/>
      <c r="AF11" s="34" t="s">
        <v>590</v>
      </c>
      <c r="AG11" s="38" cm="1">
        <f t="array" ref="AG11:AO11">_xlfn.LET(_xlpm.n,COUNTIFS($B$2:$B11,$B11,$M$2:$M11,$M11),_xlpm.res,IF($M11=1,_xlfn._xlws.FILTER('TABLETAS ESTUDIANTES'!$C$2:$K$1000,'TABLETAS ESTUDIANTES'!$B$2:$B$1000=$B11),_xlfn._xlws.FILTER('PORTATIL ESTUDIANTES'!$C$2:$K$1000,'PORTATIL ESTUDIANTES'!$B$2:$B$1000=$B11)),IFERROR(INDEX(_xlpm.res,_xlpm.n,_xlfn.SEQUENCE(1,9)),""))</f>
        <v>117174000349</v>
      </c>
      <c r="AH11" s="33" t="str">
        <v>INSTITUCIÓN EDUCATIVA SANTA TERESITA - SEDE PRINCIPAL</v>
      </c>
      <c r="AI11" s="33" t="str">
        <v>Chinchiná</v>
      </c>
      <c r="AJ11" s="33" t="str">
        <v>ENTIDAD TERRITORIAL</v>
      </c>
      <c r="AK11" s="33" t="str">
        <v>COMITÉ DE FOCALIZACION 2026</v>
      </c>
      <c r="AL11" s="33">
        <v>45053</v>
      </c>
      <c r="AM11" s="33" t="str">
        <v>BT TABLETA LENOVO IDEA TAB PRO  CTO 158-25</v>
      </c>
      <c r="AN11" s="33">
        <v>1</v>
      </c>
      <c r="AO11" s="33" t="str">
        <v>HA2HDZLA</v>
      </c>
    </row>
    <row r="12" spans="1:41" ht="101.5" x14ac:dyDescent="0.35">
      <c r="A12" s="34" t="s">
        <v>573</v>
      </c>
      <c r="B12" s="34">
        <v>18499</v>
      </c>
      <c r="C12" s="34" t="s">
        <v>574</v>
      </c>
      <c r="D12" s="34" t="s">
        <v>575</v>
      </c>
      <c r="E12" s="34">
        <v>17174</v>
      </c>
      <c r="F12" s="34" t="s">
        <v>476</v>
      </c>
      <c r="G12" s="35">
        <v>117174000349</v>
      </c>
      <c r="H12" s="34" t="s">
        <v>639</v>
      </c>
      <c r="I12" s="34">
        <v>117174000349</v>
      </c>
      <c r="J12" s="34" t="s">
        <v>478</v>
      </c>
      <c r="K12" s="34" t="s">
        <v>577</v>
      </c>
      <c r="L12" s="34" t="s">
        <v>578</v>
      </c>
      <c r="M12" s="36">
        <v>1</v>
      </c>
      <c r="N12" s="34" t="s">
        <v>661</v>
      </c>
      <c r="O12" s="34">
        <v>30361348</v>
      </c>
      <c r="P12" s="34" t="s">
        <v>580</v>
      </c>
      <c r="Q12" s="34" t="s">
        <v>662</v>
      </c>
      <c r="R12" s="34">
        <v>3105252506</v>
      </c>
      <c r="S12" s="34" t="s">
        <v>663</v>
      </c>
      <c r="T12" s="34">
        <v>1054872974</v>
      </c>
      <c r="U12" s="34" t="s">
        <v>664</v>
      </c>
      <c r="V12" s="34">
        <v>0</v>
      </c>
      <c r="W12" s="34" t="s">
        <v>665</v>
      </c>
      <c r="X12" s="34" t="s">
        <v>666</v>
      </c>
      <c r="Y12" s="34"/>
      <c r="Z12" s="34" t="s">
        <v>667</v>
      </c>
      <c r="AA12" s="34">
        <v>16</v>
      </c>
      <c r="AB12" s="34" t="s">
        <v>588</v>
      </c>
      <c r="AC12" s="34">
        <v>11</v>
      </c>
      <c r="AD12" s="34" t="s">
        <v>663</v>
      </c>
      <c r="AE12" s="34"/>
      <c r="AF12" s="34" t="s">
        <v>590</v>
      </c>
      <c r="AG12" s="38" cm="1">
        <f t="array" ref="AG12:AO12">_xlfn.LET(_xlpm.n,COUNTIFS($B$2:$B12,$B12,$M$2:$M12,$M12),_xlpm.res,IF($M12=1,_xlfn._xlws.FILTER('TABLETAS ESTUDIANTES'!$C$2:$K$1000,'TABLETAS ESTUDIANTES'!$B$2:$B$1000=$B12),_xlfn._xlws.FILTER('PORTATIL ESTUDIANTES'!$C$2:$K$1000,'PORTATIL ESTUDIANTES'!$B$2:$B$1000=$B12)),IFERROR(INDEX(_xlpm.res,_xlpm.n,_xlfn.SEQUENCE(1,9)),""))</f>
        <v>117174000349</v>
      </c>
      <c r="AH12" s="33" t="str">
        <v>INSTITUCIÓN EDUCATIVA SANTA TERESITA - SEDE PRINCIPAL</v>
      </c>
      <c r="AI12" s="33" t="str">
        <v>Chinchiná</v>
      </c>
      <c r="AJ12" s="33" t="str">
        <v>ENTIDAD TERRITORIAL</v>
      </c>
      <c r="AK12" s="33" t="str">
        <v>COMITÉ DE FOCALIZACION 2026</v>
      </c>
      <c r="AL12" s="33">
        <v>45053</v>
      </c>
      <c r="AM12" s="33" t="str">
        <v>BT TABLETA LENOVO IDEA TAB PRO  CTO 158-25</v>
      </c>
      <c r="AN12" s="33">
        <v>1</v>
      </c>
      <c r="AO12" s="33" t="str">
        <v>HA2HGSRY</v>
      </c>
    </row>
    <row r="13" spans="1:41" ht="101.5" x14ac:dyDescent="0.35">
      <c r="A13" s="34" t="s">
        <v>573</v>
      </c>
      <c r="B13" s="34">
        <v>18499</v>
      </c>
      <c r="C13" s="34" t="s">
        <v>574</v>
      </c>
      <c r="D13" s="34" t="s">
        <v>575</v>
      </c>
      <c r="E13" s="34">
        <v>17174</v>
      </c>
      <c r="F13" s="34" t="s">
        <v>476</v>
      </c>
      <c r="G13" s="35">
        <v>117174000349</v>
      </c>
      <c r="H13" s="34" t="s">
        <v>639</v>
      </c>
      <c r="I13" s="34">
        <v>117174000349</v>
      </c>
      <c r="J13" s="34" t="s">
        <v>478</v>
      </c>
      <c r="K13" s="34" t="s">
        <v>577</v>
      </c>
      <c r="L13" s="34" t="s">
        <v>578</v>
      </c>
      <c r="M13" s="36">
        <v>1</v>
      </c>
      <c r="N13" s="34" t="s">
        <v>668</v>
      </c>
      <c r="O13" s="34">
        <v>30358460</v>
      </c>
      <c r="P13" s="34" t="s">
        <v>580</v>
      </c>
      <c r="Q13" s="34" t="s">
        <v>669</v>
      </c>
      <c r="R13" s="34">
        <v>3105142204</v>
      </c>
      <c r="S13" s="34" t="s">
        <v>670</v>
      </c>
      <c r="T13" s="34">
        <v>1054480110</v>
      </c>
      <c r="U13" s="34" t="s">
        <v>671</v>
      </c>
      <c r="V13" s="34" t="s">
        <v>672</v>
      </c>
      <c r="W13" s="34" t="s">
        <v>673</v>
      </c>
      <c r="X13" s="34" t="s">
        <v>596</v>
      </c>
      <c r="Y13" s="34"/>
      <c r="Z13" s="37">
        <v>39733</v>
      </c>
      <c r="AA13" s="34">
        <v>17</v>
      </c>
      <c r="AB13" s="34" t="s">
        <v>598</v>
      </c>
      <c r="AC13" s="34">
        <v>11</v>
      </c>
      <c r="AD13" s="34" t="s">
        <v>674</v>
      </c>
      <c r="AE13" s="34"/>
      <c r="AF13" s="34" t="s">
        <v>590</v>
      </c>
      <c r="AG13" s="38" cm="1">
        <f t="array" ref="AG13:AO13">_xlfn.LET(_xlpm.n,COUNTIFS($B$2:$B13,$B13,$M$2:$M13,$M13),_xlpm.res,IF($M13=1,_xlfn._xlws.FILTER('TABLETAS ESTUDIANTES'!$C$2:$K$1000,'TABLETAS ESTUDIANTES'!$B$2:$B$1000=$B13),_xlfn._xlws.FILTER('PORTATIL ESTUDIANTES'!$C$2:$K$1000,'PORTATIL ESTUDIANTES'!$B$2:$B$1000=$B13)),IFERROR(INDEX(_xlpm.res,_xlpm.n,_xlfn.SEQUENCE(1,9)),""))</f>
        <v>117174000349</v>
      </c>
      <c r="AH13" s="33" t="str">
        <v>INSTITUCIÓN EDUCATIVA SANTA TERESITA - SEDE PRINCIPAL</v>
      </c>
      <c r="AI13" s="33" t="str">
        <v>Chinchiná</v>
      </c>
      <c r="AJ13" s="33" t="str">
        <v>ENTIDAD TERRITORIAL</v>
      </c>
      <c r="AK13" s="33" t="str">
        <v>COMITÉ DE FOCALIZACION 2026</v>
      </c>
      <c r="AL13" s="33">
        <v>45053</v>
      </c>
      <c r="AM13" s="33" t="str">
        <v>BT TABLETA LENOVO IDEA TAB PRO  CTO 158-25</v>
      </c>
      <c r="AN13" s="33">
        <v>1</v>
      </c>
      <c r="AO13" s="33" t="str">
        <v>HA2HDHTY</v>
      </c>
    </row>
    <row r="14" spans="1:41" ht="101.5" x14ac:dyDescent="0.35">
      <c r="A14" s="34" t="s">
        <v>573</v>
      </c>
      <c r="B14" s="34">
        <v>18499</v>
      </c>
      <c r="C14" s="34" t="s">
        <v>574</v>
      </c>
      <c r="D14" s="34" t="s">
        <v>575</v>
      </c>
      <c r="E14" s="34">
        <v>17174</v>
      </c>
      <c r="F14" s="34" t="s">
        <v>476</v>
      </c>
      <c r="G14" s="35">
        <v>117174000349</v>
      </c>
      <c r="H14" s="34" t="s">
        <v>639</v>
      </c>
      <c r="I14" s="34">
        <v>117174000349</v>
      </c>
      <c r="J14" s="34" t="s">
        <v>478</v>
      </c>
      <c r="K14" s="34" t="s">
        <v>577</v>
      </c>
      <c r="L14" s="34" t="s">
        <v>578</v>
      </c>
      <c r="M14" s="36">
        <v>1</v>
      </c>
      <c r="N14" s="34" t="s">
        <v>675</v>
      </c>
      <c r="O14" s="34">
        <v>4414200</v>
      </c>
      <c r="P14" s="34" t="s">
        <v>649</v>
      </c>
      <c r="Q14" s="34" t="s">
        <v>676</v>
      </c>
      <c r="R14" s="34">
        <v>3218471897</v>
      </c>
      <c r="S14" s="34" t="s">
        <v>677</v>
      </c>
      <c r="T14" s="34">
        <v>1127386550</v>
      </c>
      <c r="U14" s="34" t="s">
        <v>604</v>
      </c>
      <c r="V14" s="34" t="s">
        <v>678</v>
      </c>
      <c r="W14" s="34" t="s">
        <v>679</v>
      </c>
      <c r="X14" s="34" t="s">
        <v>680</v>
      </c>
      <c r="Y14" s="34"/>
      <c r="Z14" s="37">
        <v>40153</v>
      </c>
      <c r="AA14" s="34">
        <v>16</v>
      </c>
      <c r="AB14" s="34" t="s">
        <v>598</v>
      </c>
      <c r="AC14" s="34">
        <v>11</v>
      </c>
      <c r="AD14" s="34" t="s">
        <v>677</v>
      </c>
      <c r="AE14" s="34"/>
      <c r="AF14" s="34" t="s">
        <v>590</v>
      </c>
      <c r="AG14" s="38" cm="1">
        <f t="array" ref="AG14:AO14">_xlfn.LET(_xlpm.n,COUNTIFS($B$2:$B14,$B14,$M$2:$M14,$M14),_xlpm.res,IF($M14=1,_xlfn._xlws.FILTER('TABLETAS ESTUDIANTES'!$C$2:$K$1000,'TABLETAS ESTUDIANTES'!$B$2:$B$1000=$B14),_xlfn._xlws.FILTER('PORTATIL ESTUDIANTES'!$C$2:$K$1000,'PORTATIL ESTUDIANTES'!$B$2:$B$1000=$B14)),IFERROR(INDEX(_xlpm.res,_xlpm.n,_xlfn.SEQUENCE(1,9)),""))</f>
        <v>117174000349</v>
      </c>
      <c r="AH14" s="33" t="str">
        <v>INSTITUCIÓN EDUCATIVA SANTA TERESITA - SEDE PRINCIPAL</v>
      </c>
      <c r="AI14" s="33" t="str">
        <v>Chinchiná</v>
      </c>
      <c r="AJ14" s="33" t="str">
        <v>ENTIDAD TERRITORIAL</v>
      </c>
      <c r="AK14" s="33" t="str">
        <v>COMITÉ DE FOCALIZACION 2026</v>
      </c>
      <c r="AL14" s="33">
        <v>45053</v>
      </c>
      <c r="AM14" s="33" t="str">
        <v>BT TABLETA LENOVO IDEA TAB PRO  CTO 158-25</v>
      </c>
      <c r="AN14" s="33">
        <v>1</v>
      </c>
      <c r="AO14" s="33" t="str">
        <v>HA2HDDHS</v>
      </c>
    </row>
    <row r="15" spans="1:41" ht="101.5" x14ac:dyDescent="0.35">
      <c r="A15" s="34" t="s">
        <v>573</v>
      </c>
      <c r="B15" s="34">
        <v>18499</v>
      </c>
      <c r="C15" s="34" t="s">
        <v>574</v>
      </c>
      <c r="D15" s="34" t="s">
        <v>575</v>
      </c>
      <c r="E15" s="34">
        <v>17174</v>
      </c>
      <c r="F15" s="34" t="s">
        <v>476</v>
      </c>
      <c r="G15" s="35">
        <v>117174000349</v>
      </c>
      <c r="H15" s="34" t="s">
        <v>639</v>
      </c>
      <c r="I15" s="34">
        <v>117174000349</v>
      </c>
      <c r="J15" s="34" t="s">
        <v>478</v>
      </c>
      <c r="K15" s="34" t="s">
        <v>577</v>
      </c>
      <c r="L15" s="34" t="s">
        <v>578</v>
      </c>
      <c r="M15" s="36">
        <v>1</v>
      </c>
      <c r="N15" s="34" t="s">
        <v>681</v>
      </c>
      <c r="O15" s="34">
        <v>30331559</v>
      </c>
      <c r="P15" s="34" t="s">
        <v>580</v>
      </c>
      <c r="Q15" s="34" t="s">
        <v>682</v>
      </c>
      <c r="R15" s="34">
        <v>3044482085</v>
      </c>
      <c r="S15" s="34" t="s">
        <v>683</v>
      </c>
      <c r="T15" s="34">
        <v>1058140140</v>
      </c>
      <c r="U15" s="34" t="s">
        <v>594</v>
      </c>
      <c r="V15" s="34">
        <v>0</v>
      </c>
      <c r="W15" s="34" t="s">
        <v>684</v>
      </c>
      <c r="X15" s="34" t="s">
        <v>595</v>
      </c>
      <c r="Y15" s="34"/>
      <c r="Z15" s="34" t="s">
        <v>685</v>
      </c>
      <c r="AA15" s="34">
        <v>17</v>
      </c>
      <c r="AB15" s="34" t="s">
        <v>598</v>
      </c>
      <c r="AC15" s="34">
        <v>11</v>
      </c>
      <c r="AD15" s="34" t="s">
        <v>686</v>
      </c>
      <c r="AE15" s="34"/>
      <c r="AF15" s="34" t="s">
        <v>590</v>
      </c>
      <c r="AG15" s="38" cm="1">
        <f t="array" ref="AG15:AO15">_xlfn.LET(_xlpm.n,COUNTIFS($B$2:$B15,$B15,$M$2:$M15,$M15),_xlpm.res,IF($M15=1,_xlfn._xlws.FILTER('TABLETAS ESTUDIANTES'!$C$2:$K$1000,'TABLETAS ESTUDIANTES'!$B$2:$B$1000=$B15),_xlfn._xlws.FILTER('PORTATIL ESTUDIANTES'!$C$2:$K$1000,'PORTATIL ESTUDIANTES'!$B$2:$B$1000=$B15)),IFERROR(INDEX(_xlpm.res,_xlpm.n,_xlfn.SEQUENCE(1,9)),""))</f>
        <v>117174000349</v>
      </c>
      <c r="AH15" s="33" t="str">
        <v>INSTITUCIÓN EDUCATIVA SANTA TERESITA - SEDE PRINCIPAL</v>
      </c>
      <c r="AI15" s="33" t="str">
        <v>Chinchiná</v>
      </c>
      <c r="AJ15" s="33" t="str">
        <v>ENTIDAD TERRITORIAL</v>
      </c>
      <c r="AK15" s="33" t="str">
        <v>COMITÉ DE FOCALIZACION 2026</v>
      </c>
      <c r="AL15" s="33">
        <v>45053</v>
      </c>
      <c r="AM15" s="33" t="str">
        <v>BT TABLETA LENOVO IDEA TAB PRO  CTO 158-25</v>
      </c>
      <c r="AN15" s="33">
        <v>1</v>
      </c>
      <c r="AO15" s="33" t="str">
        <v>HA2HEN5S</v>
      </c>
    </row>
    <row r="16" spans="1:41" ht="87" x14ac:dyDescent="0.35">
      <c r="A16" s="34" t="s">
        <v>573</v>
      </c>
      <c r="B16" s="34">
        <v>84731</v>
      </c>
      <c r="C16" s="34" t="s">
        <v>574</v>
      </c>
      <c r="D16" s="34" t="s">
        <v>575</v>
      </c>
      <c r="E16" s="34">
        <v>17433</v>
      </c>
      <c r="F16" s="34" t="s">
        <v>487</v>
      </c>
      <c r="G16" s="35">
        <v>117433000379</v>
      </c>
      <c r="H16" s="34" t="s">
        <v>687</v>
      </c>
      <c r="I16" s="34">
        <v>117433000379</v>
      </c>
      <c r="J16" s="34" t="s">
        <v>486</v>
      </c>
      <c r="K16" s="34" t="s">
        <v>577</v>
      </c>
      <c r="L16" s="34" t="s">
        <v>578</v>
      </c>
      <c r="M16" s="36">
        <v>1</v>
      </c>
      <c r="N16" s="34" t="s">
        <v>688</v>
      </c>
      <c r="O16" s="34">
        <v>24729296</v>
      </c>
      <c r="P16" s="34" t="s">
        <v>580</v>
      </c>
      <c r="Q16" s="34" t="s">
        <v>689</v>
      </c>
      <c r="R16" s="34">
        <v>3223607969</v>
      </c>
      <c r="S16" s="34" t="s">
        <v>690</v>
      </c>
      <c r="T16" s="34">
        <v>1107981101</v>
      </c>
      <c r="U16" s="34" t="s">
        <v>691</v>
      </c>
      <c r="V16" s="34" t="s">
        <v>692</v>
      </c>
      <c r="W16" s="34" t="s">
        <v>693</v>
      </c>
      <c r="X16" s="34" t="s">
        <v>607</v>
      </c>
      <c r="Y16" s="34"/>
      <c r="Z16" s="37">
        <v>40271</v>
      </c>
      <c r="AA16" s="34">
        <v>16</v>
      </c>
      <c r="AB16" s="34" t="s">
        <v>598</v>
      </c>
      <c r="AC16" s="34">
        <v>11</v>
      </c>
      <c r="AD16" s="34" t="s">
        <v>694</v>
      </c>
      <c r="AE16" s="34"/>
      <c r="AF16" s="34" t="s">
        <v>590</v>
      </c>
      <c r="AG16" s="38" cm="1">
        <f t="array" ref="AG16:AO16">_xlfn.LET(_xlpm.n,COUNTIFS($B$2:$B16,$B16,$M$2:$M16,$M16),_xlpm.res,IF($M16=1,_xlfn._xlws.FILTER('TABLETAS ESTUDIANTES'!$C$2:$K$1000,'TABLETAS ESTUDIANTES'!$B$2:$B$1000=$B16),_xlfn._xlws.FILTER('PORTATIL ESTUDIANTES'!$C$2:$K$1000,'PORTATIL ESTUDIANTES'!$B$2:$B$1000=$B16)),IFERROR(INDEX(_xlpm.res,_xlpm.n,_xlfn.SEQUENCE(1,9)),""))</f>
        <v>117433000379</v>
      </c>
      <c r="AH16" s="33" t="str">
        <v>INSTITUCION EDUCATIVA MANZANARES - SEDE PRINCIPAL</v>
      </c>
      <c r="AI16" s="33" t="str">
        <v>Manzanares</v>
      </c>
      <c r="AJ16" s="33" t="str">
        <v>ENTIDAD TERRITORIAL</v>
      </c>
      <c r="AK16" s="33" t="str">
        <v>COMITÉ DE FOCALIZACION 2026</v>
      </c>
      <c r="AL16" s="33">
        <v>45053</v>
      </c>
      <c r="AM16" s="33" t="str">
        <v>BT TABLETA LENOVO IDEA TAB PRO  CTO 158-25</v>
      </c>
      <c r="AN16" s="33">
        <v>1</v>
      </c>
      <c r="AO16" s="33" t="str">
        <v>HA2HCYGP</v>
      </c>
    </row>
    <row r="17" spans="1:41" ht="87" x14ac:dyDescent="0.35">
      <c r="A17" s="34" t="s">
        <v>573</v>
      </c>
      <c r="B17" s="34">
        <v>84731</v>
      </c>
      <c r="C17" s="34" t="s">
        <v>574</v>
      </c>
      <c r="D17" s="34" t="s">
        <v>575</v>
      </c>
      <c r="E17" s="34">
        <v>17433</v>
      </c>
      <c r="F17" s="34" t="s">
        <v>487</v>
      </c>
      <c r="G17" s="35">
        <v>117433000379</v>
      </c>
      <c r="H17" s="34" t="s">
        <v>687</v>
      </c>
      <c r="I17" s="34">
        <v>117433000379</v>
      </c>
      <c r="J17" s="34" t="s">
        <v>486</v>
      </c>
      <c r="K17" s="34" t="s">
        <v>577</v>
      </c>
      <c r="L17" s="34" t="s">
        <v>578</v>
      </c>
      <c r="M17" s="36">
        <v>1</v>
      </c>
      <c r="N17" s="34" t="s">
        <v>695</v>
      </c>
      <c r="O17" s="34">
        <v>24731301</v>
      </c>
      <c r="P17" s="34" t="s">
        <v>580</v>
      </c>
      <c r="Q17" s="34" t="s">
        <v>696</v>
      </c>
      <c r="R17" s="34">
        <v>3234872217</v>
      </c>
      <c r="S17" s="34" t="s">
        <v>697</v>
      </c>
      <c r="T17" s="34">
        <v>1055890622</v>
      </c>
      <c r="U17" s="34" t="s">
        <v>583</v>
      </c>
      <c r="V17" s="34" t="s">
        <v>605</v>
      </c>
      <c r="W17" s="34" t="s">
        <v>679</v>
      </c>
      <c r="X17" s="34" t="s">
        <v>698</v>
      </c>
      <c r="Y17" s="34"/>
      <c r="Z17" s="34" t="s">
        <v>667</v>
      </c>
      <c r="AA17" s="34">
        <v>16</v>
      </c>
      <c r="AB17" s="34" t="s">
        <v>588</v>
      </c>
      <c r="AC17" s="34">
        <v>11</v>
      </c>
      <c r="AD17" s="34" t="s">
        <v>699</v>
      </c>
      <c r="AE17" s="34"/>
      <c r="AF17" s="34" t="s">
        <v>590</v>
      </c>
      <c r="AG17" s="38" cm="1">
        <f t="array" ref="AG17:AO17">_xlfn.LET(_xlpm.n,COUNTIFS($B$2:$B17,$B17,$M$2:$M17,$M17),_xlpm.res,IF($M17=1,_xlfn._xlws.FILTER('TABLETAS ESTUDIANTES'!$C$2:$K$1000,'TABLETAS ESTUDIANTES'!$B$2:$B$1000=$B17),_xlfn._xlws.FILTER('PORTATIL ESTUDIANTES'!$C$2:$K$1000,'PORTATIL ESTUDIANTES'!$B$2:$B$1000=$B17)),IFERROR(INDEX(_xlpm.res,_xlpm.n,_xlfn.SEQUENCE(1,9)),""))</f>
        <v>117433000379</v>
      </c>
      <c r="AH17" s="33" t="str">
        <v>INSTITUCION EDUCATIVA MANZANARES - SEDE PRINCIPAL</v>
      </c>
      <c r="AI17" s="33" t="str">
        <v>Manzanares</v>
      </c>
      <c r="AJ17" s="33" t="str">
        <v>ENTIDAD TERRITORIAL</v>
      </c>
      <c r="AK17" s="33" t="str">
        <v>COMITÉ DE FOCALIZACION 2026</v>
      </c>
      <c r="AL17" s="33">
        <v>45053</v>
      </c>
      <c r="AM17" s="33" t="str">
        <v>BT TABLETA LENOVO IDEA TAB PRO  CTO 158-25</v>
      </c>
      <c r="AN17" s="33">
        <v>1</v>
      </c>
      <c r="AO17" s="33" t="str">
        <v>HA2HFQ9E</v>
      </c>
    </row>
    <row r="18" spans="1:41" ht="87" x14ac:dyDescent="0.35">
      <c r="A18" s="34" t="s">
        <v>573</v>
      </c>
      <c r="B18" s="34">
        <v>84731</v>
      </c>
      <c r="C18" s="34" t="s">
        <v>574</v>
      </c>
      <c r="D18" s="34" t="s">
        <v>575</v>
      </c>
      <c r="E18" s="34">
        <v>17433</v>
      </c>
      <c r="F18" s="34" t="s">
        <v>487</v>
      </c>
      <c r="G18" s="35">
        <v>117433000379</v>
      </c>
      <c r="H18" s="34" t="s">
        <v>687</v>
      </c>
      <c r="I18" s="34">
        <v>117433000379</v>
      </c>
      <c r="J18" s="34" t="s">
        <v>486</v>
      </c>
      <c r="K18" s="34" t="s">
        <v>577</v>
      </c>
      <c r="L18" s="34" t="s">
        <v>578</v>
      </c>
      <c r="M18" s="36">
        <v>1</v>
      </c>
      <c r="N18" s="34" t="s">
        <v>700</v>
      </c>
      <c r="O18" s="34">
        <v>1058843925</v>
      </c>
      <c r="P18" s="34" t="s">
        <v>580</v>
      </c>
      <c r="Q18" s="34" t="s">
        <v>701</v>
      </c>
      <c r="R18" s="34">
        <v>3133727502</v>
      </c>
      <c r="S18" s="34" t="s">
        <v>702</v>
      </c>
      <c r="T18" s="34">
        <v>1054871822</v>
      </c>
      <c r="U18" s="34" t="s">
        <v>703</v>
      </c>
      <c r="V18" s="34">
        <v>0</v>
      </c>
      <c r="W18" s="34" t="s">
        <v>704</v>
      </c>
      <c r="X18" s="34" t="s">
        <v>705</v>
      </c>
      <c r="Y18" s="34"/>
      <c r="Z18" s="34" t="s">
        <v>706</v>
      </c>
      <c r="AA18" s="34">
        <v>16</v>
      </c>
      <c r="AB18" s="34" t="s">
        <v>598</v>
      </c>
      <c r="AC18" s="34">
        <v>11</v>
      </c>
      <c r="AD18" s="34" t="s">
        <v>707</v>
      </c>
      <c r="AE18" s="34"/>
      <c r="AF18" s="34" t="s">
        <v>590</v>
      </c>
      <c r="AG18" s="38" cm="1">
        <f t="array" ref="AG18:AO18">_xlfn.LET(_xlpm.n,COUNTIFS($B$2:$B18,$B18,$M$2:$M18,$M18),_xlpm.res,IF($M18=1,_xlfn._xlws.FILTER('TABLETAS ESTUDIANTES'!$C$2:$K$1000,'TABLETAS ESTUDIANTES'!$B$2:$B$1000=$B18),_xlfn._xlws.FILTER('PORTATIL ESTUDIANTES'!$C$2:$K$1000,'PORTATIL ESTUDIANTES'!$B$2:$B$1000=$B18)),IFERROR(INDEX(_xlpm.res,_xlpm.n,_xlfn.SEQUENCE(1,9)),""))</f>
        <v>117433000379</v>
      </c>
      <c r="AH18" s="33" t="str">
        <v>INSTITUCION EDUCATIVA MANZANARES - SEDE PRINCIPAL</v>
      </c>
      <c r="AI18" s="33" t="str">
        <v>Manzanares</v>
      </c>
      <c r="AJ18" s="33" t="str">
        <v>ENTIDAD TERRITORIAL</v>
      </c>
      <c r="AK18" s="33" t="str">
        <v>COMITÉ DE FOCALIZACION 2026</v>
      </c>
      <c r="AL18" s="33">
        <v>45053</v>
      </c>
      <c r="AM18" s="33" t="str">
        <v>BT TABLETA LENOVO IDEA TAB PRO  CTO 158-25</v>
      </c>
      <c r="AN18" s="33">
        <v>1</v>
      </c>
      <c r="AO18" s="33" t="str">
        <v>HA2HG494</v>
      </c>
    </row>
    <row r="19" spans="1:41" ht="87" x14ac:dyDescent="0.35">
      <c r="A19" s="34" t="s">
        <v>573</v>
      </c>
      <c r="B19" s="34">
        <v>84731</v>
      </c>
      <c r="C19" s="34" t="s">
        <v>574</v>
      </c>
      <c r="D19" s="34" t="s">
        <v>575</v>
      </c>
      <c r="E19" s="34">
        <v>17433</v>
      </c>
      <c r="F19" s="34" t="s">
        <v>487</v>
      </c>
      <c r="G19" s="35">
        <v>117433000379</v>
      </c>
      <c r="H19" s="34" t="s">
        <v>687</v>
      </c>
      <c r="I19" s="34">
        <v>117433000379</v>
      </c>
      <c r="J19" s="34" t="s">
        <v>486</v>
      </c>
      <c r="K19" s="34" t="s">
        <v>577</v>
      </c>
      <c r="L19" s="34" t="s">
        <v>578</v>
      </c>
      <c r="M19" s="36">
        <v>1</v>
      </c>
      <c r="N19" s="34" t="s">
        <v>708</v>
      </c>
      <c r="O19" s="34">
        <v>1094886858</v>
      </c>
      <c r="P19" s="34" t="s">
        <v>649</v>
      </c>
      <c r="Q19" s="34" t="s">
        <v>709</v>
      </c>
      <c r="R19" s="34">
        <v>3122145613</v>
      </c>
      <c r="S19" s="34" t="s">
        <v>710</v>
      </c>
      <c r="T19" s="34">
        <v>1090275889</v>
      </c>
      <c r="U19" s="34" t="s">
        <v>711</v>
      </c>
      <c r="V19" s="34">
        <v>0</v>
      </c>
      <c r="W19" s="34" t="s">
        <v>712</v>
      </c>
      <c r="X19" s="34" t="s">
        <v>713</v>
      </c>
      <c r="Y19" s="34"/>
      <c r="Z19" s="34" t="s">
        <v>714</v>
      </c>
      <c r="AA19" s="34">
        <v>16</v>
      </c>
      <c r="AB19" s="34" t="s">
        <v>588</v>
      </c>
      <c r="AC19" s="34">
        <v>11</v>
      </c>
      <c r="AD19" s="34" t="s">
        <v>715</v>
      </c>
      <c r="AE19" s="34"/>
      <c r="AF19" s="34" t="s">
        <v>590</v>
      </c>
      <c r="AG19" s="38" cm="1">
        <f t="array" ref="AG19:AO19">_xlfn.LET(_xlpm.n,COUNTIFS($B$2:$B19,$B19,$M$2:$M19,$M19),_xlpm.res,IF($M19=1,_xlfn._xlws.FILTER('TABLETAS ESTUDIANTES'!$C$2:$K$1000,'TABLETAS ESTUDIANTES'!$B$2:$B$1000=$B19),_xlfn._xlws.FILTER('PORTATIL ESTUDIANTES'!$C$2:$K$1000,'PORTATIL ESTUDIANTES'!$B$2:$B$1000=$B19)),IFERROR(INDEX(_xlpm.res,_xlpm.n,_xlfn.SEQUENCE(1,9)),""))</f>
        <v>117433000379</v>
      </c>
      <c r="AH19" s="33" t="str">
        <v>INSTITUCION EDUCATIVA MANZANARES - SEDE PRINCIPAL</v>
      </c>
      <c r="AI19" s="33" t="str">
        <v>Manzanares</v>
      </c>
      <c r="AJ19" s="33" t="str">
        <v>ENTIDAD TERRITORIAL</v>
      </c>
      <c r="AK19" s="33" t="str">
        <v>COMITÉ DE FOCALIZACION 2026</v>
      </c>
      <c r="AL19" s="33">
        <v>45053</v>
      </c>
      <c r="AM19" s="33" t="str">
        <v>BT TABLETA LENOVO IDEA TAB PRO  CTO 158-25</v>
      </c>
      <c r="AN19" s="33">
        <v>1</v>
      </c>
      <c r="AO19" s="33" t="str">
        <v>HA2HFE78</v>
      </c>
    </row>
    <row r="20" spans="1:41" ht="87" x14ac:dyDescent="0.35">
      <c r="A20" s="34" t="s">
        <v>573</v>
      </c>
      <c r="B20" s="34">
        <v>84731</v>
      </c>
      <c r="C20" s="34" t="s">
        <v>574</v>
      </c>
      <c r="D20" s="34" t="s">
        <v>575</v>
      </c>
      <c r="E20" s="34">
        <v>17433</v>
      </c>
      <c r="F20" s="34" t="s">
        <v>487</v>
      </c>
      <c r="G20" s="35">
        <v>117433000379</v>
      </c>
      <c r="H20" s="34" t="s">
        <v>687</v>
      </c>
      <c r="I20" s="34">
        <v>117433000379</v>
      </c>
      <c r="J20" s="34" t="s">
        <v>486</v>
      </c>
      <c r="K20" s="34" t="s">
        <v>577</v>
      </c>
      <c r="L20" s="34" t="s">
        <v>578</v>
      </c>
      <c r="M20" s="36">
        <v>1</v>
      </c>
      <c r="N20" s="34" t="s">
        <v>716</v>
      </c>
      <c r="O20" s="34">
        <v>1057782308</v>
      </c>
      <c r="P20" s="34" t="s">
        <v>580</v>
      </c>
      <c r="Q20" s="34" t="s">
        <v>717</v>
      </c>
      <c r="R20" s="34">
        <v>3176320305</v>
      </c>
      <c r="S20" s="34" t="s">
        <v>718</v>
      </c>
      <c r="T20" s="34">
        <v>1054556929</v>
      </c>
      <c r="U20" s="34" t="s">
        <v>719</v>
      </c>
      <c r="V20" s="34" t="s">
        <v>584</v>
      </c>
      <c r="W20" s="34" t="s">
        <v>720</v>
      </c>
      <c r="X20" s="34" t="s">
        <v>721</v>
      </c>
      <c r="Y20" s="34"/>
      <c r="Z20" s="34" t="s">
        <v>722</v>
      </c>
      <c r="AA20" s="34">
        <v>15</v>
      </c>
      <c r="AB20" s="34" t="s">
        <v>588</v>
      </c>
      <c r="AC20" s="34">
        <v>11</v>
      </c>
      <c r="AD20" s="34" t="s">
        <v>723</v>
      </c>
      <c r="AE20" s="34"/>
      <c r="AF20" s="34" t="s">
        <v>590</v>
      </c>
      <c r="AG20" s="38" cm="1">
        <f t="array" ref="AG20:AO20">_xlfn.LET(_xlpm.n,COUNTIFS($B$2:$B20,$B20,$M$2:$M20,$M20),_xlpm.res,IF($M20=1,_xlfn._xlws.FILTER('TABLETAS ESTUDIANTES'!$C$2:$K$1000,'TABLETAS ESTUDIANTES'!$B$2:$B$1000=$B20),_xlfn._xlws.FILTER('PORTATIL ESTUDIANTES'!$C$2:$K$1000,'PORTATIL ESTUDIANTES'!$B$2:$B$1000=$B20)),IFERROR(INDEX(_xlpm.res,_xlpm.n,_xlfn.SEQUENCE(1,9)),""))</f>
        <v>117433000379</v>
      </c>
      <c r="AH20" s="33" t="str">
        <v>INSTITUCION EDUCATIVA MANZANARES - SEDE PRINCIPAL</v>
      </c>
      <c r="AI20" s="33" t="str">
        <v>Manzanares</v>
      </c>
      <c r="AJ20" s="33" t="str">
        <v>ENTIDAD TERRITORIAL</v>
      </c>
      <c r="AK20" s="33" t="str">
        <v>COMITÉ DE FOCALIZACION 2026</v>
      </c>
      <c r="AL20" s="33">
        <v>45053</v>
      </c>
      <c r="AM20" s="33" t="str">
        <v>BT TABLETA LENOVO IDEA TAB PRO  CTO 158-25</v>
      </c>
      <c r="AN20" s="33">
        <v>1</v>
      </c>
      <c r="AO20" s="33" t="str">
        <v>HA2HGSRJ</v>
      </c>
    </row>
    <row r="21" spans="1:41" ht="87" x14ac:dyDescent="0.35">
      <c r="A21" s="34" t="s">
        <v>573</v>
      </c>
      <c r="B21" s="34">
        <v>9089</v>
      </c>
      <c r="C21" s="34" t="s">
        <v>574</v>
      </c>
      <c r="D21" s="34" t="s">
        <v>575</v>
      </c>
      <c r="E21" s="34">
        <v>17444</v>
      </c>
      <c r="F21" s="34" t="s">
        <v>428</v>
      </c>
      <c r="G21" s="35">
        <v>217444000138</v>
      </c>
      <c r="H21" s="34" t="s">
        <v>724</v>
      </c>
      <c r="I21" s="34">
        <v>217444000138</v>
      </c>
      <c r="J21" s="34" t="s">
        <v>427</v>
      </c>
      <c r="K21" s="34" t="s">
        <v>725</v>
      </c>
      <c r="L21" s="34">
        <v>1</v>
      </c>
      <c r="M21" s="36" t="s">
        <v>726</v>
      </c>
      <c r="N21" s="34" t="s">
        <v>727</v>
      </c>
      <c r="O21" s="34">
        <v>75004320</v>
      </c>
      <c r="P21" s="34" t="s">
        <v>649</v>
      </c>
      <c r="Q21" s="34" t="s">
        <v>728</v>
      </c>
      <c r="R21" s="34">
        <v>3117625031</v>
      </c>
      <c r="S21" s="34" t="s">
        <v>729</v>
      </c>
      <c r="T21" s="34">
        <v>1058200418</v>
      </c>
      <c r="U21" s="34" t="s">
        <v>730</v>
      </c>
      <c r="V21" s="34" t="s">
        <v>731</v>
      </c>
      <c r="W21" s="34" t="s">
        <v>713</v>
      </c>
      <c r="X21" s="34" t="s">
        <v>713</v>
      </c>
      <c r="Y21" s="34"/>
      <c r="Z21" s="34" t="s">
        <v>646</v>
      </c>
      <c r="AA21" s="34">
        <v>16</v>
      </c>
      <c r="AB21" s="34" t="s">
        <v>588</v>
      </c>
      <c r="AC21" s="34">
        <v>11</v>
      </c>
      <c r="AD21" s="34" t="s">
        <v>732</v>
      </c>
      <c r="AE21" s="34"/>
      <c r="AF21" s="34" t="s">
        <v>590</v>
      </c>
      <c r="AG21" s="38" cm="1">
        <f t="array" ref="AG21:AO21">_xlfn.LET(_xlpm.n,COUNTIFS($B$2:$B21,$B21,$M$2:$M21,$M21),_xlpm.res,IF($M21=1,_xlfn._xlws.FILTER('TABLETAS ESTUDIANTES'!$C$2:$K$1000,'TABLETAS ESTUDIANTES'!$B$2:$B$1000=$B21),_xlfn._xlws.FILTER('PORTATIL ESTUDIANTES'!$C$2:$K$1000,'PORTATIL ESTUDIANTES'!$B$2:$B$1000=$B21)),IFERROR(INDEX(_xlpm.res,_xlpm.n,_xlfn.SEQUENCE(1,9)),""))</f>
        <v>217444000138</v>
      </c>
      <c r="AH21" s="33" t="str">
        <v>INSTITUCION EDUCATIVA EL PLACER - SEDE PRINCIPAL</v>
      </c>
      <c r="AI21" s="33" t="str">
        <v>Marquetalia</v>
      </c>
      <c r="AJ21" s="33" t="str">
        <v>ENTIDAD TERRITORIAL</v>
      </c>
      <c r="AK21" s="33" t="str">
        <v>COMITÉ DE FOCALIZACION 2026</v>
      </c>
      <c r="AL21" s="33">
        <v>45030</v>
      </c>
      <c r="AM21" s="33" t="str">
        <v>PORTÁTIL 14" HEWLETT PACKARD, PROBOOK 445 14 INCH G11 RYZEN 3 7335U - OC 148772</v>
      </c>
      <c r="AN21" s="33">
        <v>1</v>
      </c>
      <c r="AO21" s="33" t="str">
        <v>5CD532768Y</v>
      </c>
    </row>
    <row r="22" spans="1:41" ht="87" x14ac:dyDescent="0.35">
      <c r="A22" s="34" t="s">
        <v>573</v>
      </c>
      <c r="B22" s="34">
        <v>9089</v>
      </c>
      <c r="C22" s="34" t="s">
        <v>574</v>
      </c>
      <c r="D22" s="34" t="s">
        <v>575</v>
      </c>
      <c r="E22" s="34">
        <v>17444</v>
      </c>
      <c r="F22" s="34" t="s">
        <v>428</v>
      </c>
      <c r="G22" s="35">
        <v>217444000138</v>
      </c>
      <c r="H22" s="34" t="s">
        <v>724</v>
      </c>
      <c r="I22" s="34">
        <v>217444000138</v>
      </c>
      <c r="J22" s="34" t="s">
        <v>427</v>
      </c>
      <c r="K22" s="34" t="s">
        <v>725</v>
      </c>
      <c r="L22" s="34">
        <v>1</v>
      </c>
      <c r="M22" s="36" t="s">
        <v>726</v>
      </c>
      <c r="N22" s="34" t="s">
        <v>733</v>
      </c>
      <c r="O22" s="34">
        <v>22143357</v>
      </c>
      <c r="P22" s="34" t="s">
        <v>580</v>
      </c>
      <c r="Q22" s="34" t="s">
        <v>734</v>
      </c>
      <c r="R22" s="34">
        <v>3145956024</v>
      </c>
      <c r="S22" s="34" t="s">
        <v>735</v>
      </c>
      <c r="T22" s="34">
        <v>1053809439</v>
      </c>
      <c r="U22" s="34" t="s">
        <v>691</v>
      </c>
      <c r="V22" s="34" t="s">
        <v>692</v>
      </c>
      <c r="W22" s="34" t="s">
        <v>713</v>
      </c>
      <c r="X22" s="34" t="s">
        <v>736</v>
      </c>
      <c r="Y22" s="34"/>
      <c r="Z22" s="34" t="s">
        <v>685</v>
      </c>
      <c r="AA22" s="34">
        <v>17</v>
      </c>
      <c r="AB22" s="34" t="s">
        <v>598</v>
      </c>
      <c r="AC22" s="34">
        <v>11</v>
      </c>
      <c r="AD22" s="34" t="s">
        <v>737</v>
      </c>
      <c r="AE22" s="34"/>
      <c r="AF22" s="34" t="s">
        <v>590</v>
      </c>
      <c r="AG22" s="38" cm="1">
        <f t="array" ref="AG22:AO22">_xlfn.LET(_xlpm.n,COUNTIFS($B$2:$B22,$B22,$M$2:$M22,$M22),_xlpm.res,IF($M22=1,_xlfn._xlws.FILTER('TABLETAS ESTUDIANTES'!$C$2:$K$1000,'TABLETAS ESTUDIANTES'!$B$2:$B$1000=$B22),_xlfn._xlws.FILTER('PORTATIL ESTUDIANTES'!$C$2:$K$1000,'PORTATIL ESTUDIANTES'!$B$2:$B$1000=$B22)),IFERROR(INDEX(_xlpm.res,_xlpm.n,_xlfn.SEQUENCE(1,9)),""))</f>
        <v>217444000138</v>
      </c>
      <c r="AH22" s="33" t="str">
        <v>INSTITUCION EDUCATIVA EL PLACER - SEDE PRINCIPAL</v>
      </c>
      <c r="AI22" s="33" t="str">
        <v>Marquetalia</v>
      </c>
      <c r="AJ22" s="33" t="str">
        <v>ENTIDAD TERRITORIAL</v>
      </c>
      <c r="AK22" s="33" t="str">
        <v>COMITÉ DE FOCALIZACION 2026</v>
      </c>
      <c r="AL22" s="33">
        <v>45030</v>
      </c>
      <c r="AM22" s="33" t="str">
        <v>PORTÁTIL 14" HEWLETT PACKARD, PROBOOK 445 14 INCH G11 RYZEN 3 7335U - OC 148772</v>
      </c>
      <c r="AN22" s="33">
        <v>1</v>
      </c>
      <c r="AO22" s="33" t="str">
        <v>5CD53276Z1</v>
      </c>
    </row>
    <row r="23" spans="1:41" ht="130.5" x14ac:dyDescent="0.35">
      <c r="A23" s="34" t="s">
        <v>573</v>
      </c>
      <c r="B23" s="34">
        <v>21879</v>
      </c>
      <c r="C23" s="34" t="s">
        <v>574</v>
      </c>
      <c r="D23" s="34" t="s">
        <v>575</v>
      </c>
      <c r="E23" s="34">
        <v>17495</v>
      </c>
      <c r="F23" s="34" t="s">
        <v>432</v>
      </c>
      <c r="G23" s="35">
        <v>117495005407</v>
      </c>
      <c r="H23" s="34" t="s">
        <v>738</v>
      </c>
      <c r="I23" s="34">
        <v>117495005407</v>
      </c>
      <c r="J23" s="34" t="s">
        <v>431</v>
      </c>
      <c r="K23" s="34" t="s">
        <v>577</v>
      </c>
      <c r="L23" s="34">
        <v>1</v>
      </c>
      <c r="M23" s="36" t="s">
        <v>726</v>
      </c>
      <c r="N23" s="34" t="s">
        <v>739</v>
      </c>
      <c r="O23" s="34">
        <v>1128625495</v>
      </c>
      <c r="P23" s="34" t="s">
        <v>580</v>
      </c>
      <c r="Q23" s="34" t="s">
        <v>740</v>
      </c>
      <c r="R23" s="34">
        <v>3143518810</v>
      </c>
      <c r="S23" s="34" t="s">
        <v>741</v>
      </c>
      <c r="T23" s="34">
        <v>1054555724</v>
      </c>
      <c r="U23" s="34" t="s">
        <v>604</v>
      </c>
      <c r="V23" s="34" t="s">
        <v>742</v>
      </c>
      <c r="W23" s="34" t="s">
        <v>743</v>
      </c>
      <c r="X23" s="34" t="s">
        <v>744</v>
      </c>
      <c r="Y23" s="34"/>
      <c r="Z23" s="37">
        <v>40096</v>
      </c>
      <c r="AA23" s="34">
        <v>16</v>
      </c>
      <c r="AB23" s="34" t="s">
        <v>598</v>
      </c>
      <c r="AC23" s="34">
        <v>11</v>
      </c>
      <c r="AD23" s="34" t="s">
        <v>745</v>
      </c>
      <c r="AE23" s="34"/>
      <c r="AF23" s="34" t="s">
        <v>590</v>
      </c>
      <c r="AG23" s="38" cm="1">
        <f t="array" ref="AG23:AO23">_xlfn.LET(_xlpm.n,COUNTIFS($B$2:$B23,$B23,$M$2:$M23,$M23),_xlpm.res,IF($M23=1,_xlfn._xlws.FILTER('TABLETAS ESTUDIANTES'!$C$2:$K$1000,'TABLETAS ESTUDIANTES'!$B$2:$B$1000=$B23),_xlfn._xlws.FILTER('PORTATIL ESTUDIANTES'!$C$2:$K$1000,'PORTATIL ESTUDIANTES'!$B$2:$B$1000=$B23)),IFERROR(INDEX(_xlpm.res,_xlpm.n,_xlfn.SEQUENCE(1,9)),""))</f>
        <v>117495005407</v>
      </c>
      <c r="AH23" s="33" t="str">
        <v>INSTITUCIÓN EDUCATIVA SAN GERARDO MARIA MAYELA - SEDE PRINCIPAL</v>
      </c>
      <c r="AI23" s="33" t="str">
        <v>Norcasia</v>
      </c>
      <c r="AJ23" s="33" t="str">
        <v>ENTIDAD TERRITORIAL</v>
      </c>
      <c r="AK23" s="33" t="str">
        <v>COMITÉ DE FOCALIZACION 2026</v>
      </c>
      <c r="AL23" s="33">
        <v>45030</v>
      </c>
      <c r="AM23" s="33" t="str">
        <v>PORTÁTIL 14" HEWLETT PACKARD, PROBOOK 445 14 INCH G11 RYZEN 3 7335U - OC 148772</v>
      </c>
      <c r="AN23" s="33">
        <v>1</v>
      </c>
      <c r="AO23" s="33" t="str">
        <v>5CD532766F</v>
      </c>
    </row>
    <row r="24" spans="1:41" ht="130.5" x14ac:dyDescent="0.35">
      <c r="A24" s="34" t="s">
        <v>573</v>
      </c>
      <c r="B24" s="34">
        <v>21879</v>
      </c>
      <c r="C24" s="34" t="s">
        <v>574</v>
      </c>
      <c r="D24" s="34" t="s">
        <v>575</v>
      </c>
      <c r="E24" s="34">
        <v>17495</v>
      </c>
      <c r="F24" s="34" t="s">
        <v>432</v>
      </c>
      <c r="G24" s="35">
        <v>117495005407</v>
      </c>
      <c r="H24" s="34" t="s">
        <v>738</v>
      </c>
      <c r="I24" s="34">
        <v>117495005407</v>
      </c>
      <c r="J24" s="34" t="s">
        <v>431</v>
      </c>
      <c r="K24" s="34" t="s">
        <v>577</v>
      </c>
      <c r="L24" s="34">
        <v>1</v>
      </c>
      <c r="M24" s="36" t="s">
        <v>726</v>
      </c>
      <c r="N24" s="34" t="s">
        <v>746</v>
      </c>
      <c r="O24" s="34">
        <v>1128624188</v>
      </c>
      <c r="P24" s="34" t="s">
        <v>580</v>
      </c>
      <c r="Q24" s="34" t="s">
        <v>747</v>
      </c>
      <c r="R24" s="34">
        <v>3232879104</v>
      </c>
      <c r="S24" s="34" t="s">
        <v>741</v>
      </c>
      <c r="T24" s="34">
        <v>1012376245</v>
      </c>
      <c r="U24" s="34" t="s">
        <v>742</v>
      </c>
      <c r="V24" s="34" t="s">
        <v>672</v>
      </c>
      <c r="W24" s="34" t="s">
        <v>748</v>
      </c>
      <c r="X24" s="34" t="s">
        <v>749</v>
      </c>
      <c r="Y24" s="34"/>
      <c r="Z24" s="37">
        <v>39937</v>
      </c>
      <c r="AA24" s="34">
        <v>16</v>
      </c>
      <c r="AB24" s="34" t="s">
        <v>598</v>
      </c>
      <c r="AC24" s="34">
        <v>11</v>
      </c>
      <c r="AD24" s="34" t="s">
        <v>750</v>
      </c>
      <c r="AE24" s="34"/>
      <c r="AF24" s="34" t="s">
        <v>590</v>
      </c>
      <c r="AG24" s="38" cm="1">
        <f t="array" ref="AG24:AO24">_xlfn.LET(_xlpm.n,COUNTIFS($B$2:$B24,$B24,$M$2:$M24,$M24),_xlpm.res,IF($M24=1,_xlfn._xlws.FILTER('TABLETAS ESTUDIANTES'!$C$2:$K$1000,'TABLETAS ESTUDIANTES'!$B$2:$B$1000=$B24),_xlfn._xlws.FILTER('PORTATIL ESTUDIANTES'!$C$2:$K$1000,'PORTATIL ESTUDIANTES'!$B$2:$B$1000=$B24)),IFERROR(INDEX(_xlpm.res,_xlpm.n,_xlfn.SEQUENCE(1,9)),""))</f>
        <v>117495005407</v>
      </c>
      <c r="AH24" s="33" t="str">
        <v>INSTITUCIÓN EDUCATIVA SAN GERARDO MARIA MAYELA - SEDE PRINCIPAL</v>
      </c>
      <c r="AI24" s="33" t="str">
        <v>Norcasia</v>
      </c>
      <c r="AJ24" s="33" t="str">
        <v>ENTIDAD TERRITORIAL</v>
      </c>
      <c r="AK24" s="33" t="str">
        <v>COMITÉ DE FOCALIZACION 2026</v>
      </c>
      <c r="AL24" s="33">
        <v>45030</v>
      </c>
      <c r="AM24" s="33" t="str">
        <v>PORTÁTIL 14" HEWLETT PACKARD, PROBOOK 445 14 INCH G11 RYZEN 3 7335U - OC 148772</v>
      </c>
      <c r="AN24" s="33">
        <v>1</v>
      </c>
      <c r="AO24" s="33" t="str">
        <v>5CD5320LGS</v>
      </c>
    </row>
    <row r="25" spans="1:41" ht="130.5" x14ac:dyDescent="0.35">
      <c r="A25" s="34" t="s">
        <v>573</v>
      </c>
      <c r="B25" s="34">
        <v>21879</v>
      </c>
      <c r="C25" s="34" t="s">
        <v>574</v>
      </c>
      <c r="D25" s="34" t="s">
        <v>575</v>
      </c>
      <c r="E25" s="34">
        <v>17495</v>
      </c>
      <c r="F25" s="34" t="s">
        <v>432</v>
      </c>
      <c r="G25" s="35">
        <v>117495005407</v>
      </c>
      <c r="H25" s="34" t="s">
        <v>738</v>
      </c>
      <c r="I25" s="34">
        <v>117495005407</v>
      </c>
      <c r="J25" s="34" t="s">
        <v>431</v>
      </c>
      <c r="K25" s="34" t="s">
        <v>577</v>
      </c>
      <c r="L25" s="34">
        <v>1</v>
      </c>
      <c r="M25" s="36" t="s">
        <v>726</v>
      </c>
      <c r="N25" s="34" t="s">
        <v>751</v>
      </c>
      <c r="O25" s="34">
        <v>24716677</v>
      </c>
      <c r="P25" s="34" t="s">
        <v>580</v>
      </c>
      <c r="Q25" s="34" t="s">
        <v>752</v>
      </c>
      <c r="R25" s="34">
        <v>3206226041</v>
      </c>
      <c r="S25" s="34" t="s">
        <v>741</v>
      </c>
      <c r="T25" s="34">
        <v>1128625906</v>
      </c>
      <c r="U25" s="34" t="s">
        <v>612</v>
      </c>
      <c r="V25" s="34" t="s">
        <v>753</v>
      </c>
      <c r="W25" s="34" t="s">
        <v>754</v>
      </c>
      <c r="X25" s="34" t="s">
        <v>736</v>
      </c>
      <c r="Y25" s="34"/>
      <c r="Z25" s="37">
        <v>40212</v>
      </c>
      <c r="AA25" s="34">
        <v>16</v>
      </c>
      <c r="AB25" s="34" t="s">
        <v>598</v>
      </c>
      <c r="AC25" s="34">
        <v>11</v>
      </c>
      <c r="AD25" s="34" t="s">
        <v>755</v>
      </c>
      <c r="AE25" s="34"/>
      <c r="AF25" s="34" t="s">
        <v>590</v>
      </c>
      <c r="AG25" s="38" cm="1">
        <f t="array" ref="AG25:AO25">_xlfn.LET(_xlpm.n,COUNTIFS($B$2:$B25,$B25,$M$2:$M25,$M25),_xlpm.res,IF($M25=1,_xlfn._xlws.FILTER('TABLETAS ESTUDIANTES'!$C$2:$K$1000,'TABLETAS ESTUDIANTES'!$B$2:$B$1000=$B25),_xlfn._xlws.FILTER('PORTATIL ESTUDIANTES'!$C$2:$K$1000,'PORTATIL ESTUDIANTES'!$B$2:$B$1000=$B25)),IFERROR(INDEX(_xlpm.res,_xlpm.n,_xlfn.SEQUENCE(1,9)),""))</f>
        <v>117495005407</v>
      </c>
      <c r="AH25" s="33" t="str">
        <v>INSTITUCIÓN EDUCATIVA SAN GERARDO MARIA MAYELA - SEDE PRINCIPAL</v>
      </c>
      <c r="AI25" s="33" t="str">
        <v>Norcasia</v>
      </c>
      <c r="AJ25" s="33" t="str">
        <v>ENTIDAD TERRITORIAL</v>
      </c>
      <c r="AK25" s="33" t="str">
        <v>COMITÉ DE FOCALIZACION 2026</v>
      </c>
      <c r="AL25" s="33">
        <v>45030</v>
      </c>
      <c r="AM25" s="33" t="str">
        <v>PORTÁTIL 14" HEWLETT PACKARD, PROBOOK 445 14 INCH G11 RYZEN 3 7335U - OC 148772</v>
      </c>
      <c r="AN25" s="33">
        <v>1</v>
      </c>
      <c r="AO25" s="33" t="str">
        <v>5CD5328V62</v>
      </c>
    </row>
    <row r="26" spans="1:41" ht="130.5" x14ac:dyDescent="0.35">
      <c r="A26" s="34" t="s">
        <v>573</v>
      </c>
      <c r="B26" s="34">
        <v>21879</v>
      </c>
      <c r="C26" s="34" t="s">
        <v>574</v>
      </c>
      <c r="D26" s="34" t="s">
        <v>575</v>
      </c>
      <c r="E26" s="34">
        <v>17495</v>
      </c>
      <c r="F26" s="34" t="s">
        <v>432</v>
      </c>
      <c r="G26" s="35">
        <v>117495005407</v>
      </c>
      <c r="H26" s="34" t="s">
        <v>738</v>
      </c>
      <c r="I26" s="34">
        <v>117495005407</v>
      </c>
      <c r="J26" s="34" t="s">
        <v>431</v>
      </c>
      <c r="K26" s="34" t="s">
        <v>577</v>
      </c>
      <c r="L26" s="34">
        <v>1</v>
      </c>
      <c r="M26" s="36" t="s">
        <v>726</v>
      </c>
      <c r="N26" s="34" t="s">
        <v>756</v>
      </c>
      <c r="O26" s="34">
        <v>1128624528</v>
      </c>
      <c r="P26" s="34" t="s">
        <v>580</v>
      </c>
      <c r="Q26" s="34" t="s">
        <v>757</v>
      </c>
      <c r="R26" s="34">
        <v>3137555728</v>
      </c>
      <c r="S26" s="34" t="s">
        <v>741</v>
      </c>
      <c r="T26" s="34">
        <v>1128625749</v>
      </c>
      <c r="U26" s="34" t="s">
        <v>758</v>
      </c>
      <c r="V26" s="34" t="s">
        <v>742</v>
      </c>
      <c r="W26" s="34" t="s">
        <v>759</v>
      </c>
      <c r="X26" s="34" t="s">
        <v>760</v>
      </c>
      <c r="Y26" s="34"/>
      <c r="Z26" s="37">
        <v>40064</v>
      </c>
      <c r="AA26" s="34">
        <v>16</v>
      </c>
      <c r="AB26" s="34" t="s">
        <v>598</v>
      </c>
      <c r="AC26" s="34">
        <v>11</v>
      </c>
      <c r="AD26" s="34" t="s">
        <v>761</v>
      </c>
      <c r="AE26" s="34"/>
      <c r="AF26" s="34" t="s">
        <v>590</v>
      </c>
      <c r="AG26" s="38" cm="1">
        <f t="array" ref="AG26:AO26">_xlfn.LET(_xlpm.n,COUNTIFS($B$2:$B26,$B26,$M$2:$M26,$M26),_xlpm.res,IF($M26=1,_xlfn._xlws.FILTER('TABLETAS ESTUDIANTES'!$C$2:$K$1000,'TABLETAS ESTUDIANTES'!$B$2:$B$1000=$B26),_xlfn._xlws.FILTER('PORTATIL ESTUDIANTES'!$C$2:$K$1000,'PORTATIL ESTUDIANTES'!$B$2:$B$1000=$B26)),IFERROR(INDEX(_xlpm.res,_xlpm.n,_xlfn.SEQUENCE(1,9)),""))</f>
        <v>117495005407</v>
      </c>
      <c r="AH26" s="33" t="str">
        <v>INSTITUCIÓN EDUCATIVA SAN GERARDO MARIA MAYELA - SEDE PRINCIPAL</v>
      </c>
      <c r="AI26" s="33" t="str">
        <v>Norcasia</v>
      </c>
      <c r="AJ26" s="33" t="str">
        <v>ENTIDAD TERRITORIAL</v>
      </c>
      <c r="AK26" s="33" t="str">
        <v>COMITÉ DE FOCALIZACION 2026</v>
      </c>
      <c r="AL26" s="33">
        <v>45030</v>
      </c>
      <c r="AM26" s="33" t="str">
        <v>PORTÁTIL 14" HEWLETT PACKARD, PROBOOK 445 14 INCH G11 RYZEN 3 7335U - OC 148772</v>
      </c>
      <c r="AN26" s="33">
        <v>1</v>
      </c>
      <c r="AO26" s="33" t="str">
        <v>5CD5320LFT</v>
      </c>
    </row>
    <row r="27" spans="1:41" ht="130.5" x14ac:dyDescent="0.35">
      <c r="A27" s="34" t="s">
        <v>573</v>
      </c>
      <c r="B27" s="34">
        <v>21879</v>
      </c>
      <c r="C27" s="34" t="s">
        <v>574</v>
      </c>
      <c r="D27" s="34" t="s">
        <v>575</v>
      </c>
      <c r="E27" s="34">
        <v>17495</v>
      </c>
      <c r="F27" s="34" t="s">
        <v>432</v>
      </c>
      <c r="G27" s="35">
        <v>117495005407</v>
      </c>
      <c r="H27" s="34" t="s">
        <v>738</v>
      </c>
      <c r="I27" s="34">
        <v>117495005407</v>
      </c>
      <c r="J27" s="34" t="s">
        <v>431</v>
      </c>
      <c r="K27" s="34" t="s">
        <v>577</v>
      </c>
      <c r="L27" s="34">
        <v>1</v>
      </c>
      <c r="M27" s="36" t="s">
        <v>726</v>
      </c>
      <c r="N27" s="34" t="s">
        <v>762</v>
      </c>
      <c r="O27" s="34">
        <v>1128625036</v>
      </c>
      <c r="P27" s="34" t="s">
        <v>580</v>
      </c>
      <c r="Q27" s="34" t="s">
        <v>432</v>
      </c>
      <c r="R27" s="34">
        <v>3207510483</v>
      </c>
      <c r="S27" s="34" t="s">
        <v>741</v>
      </c>
      <c r="T27" s="34">
        <v>1128626485</v>
      </c>
      <c r="U27" s="34" t="s">
        <v>763</v>
      </c>
      <c r="V27" s="34">
        <v>0</v>
      </c>
      <c r="W27" s="34" t="s">
        <v>693</v>
      </c>
      <c r="X27" s="34" t="s">
        <v>764</v>
      </c>
      <c r="Y27" s="34"/>
      <c r="Z27" s="34" t="s">
        <v>765</v>
      </c>
      <c r="AA27" s="34">
        <v>16</v>
      </c>
      <c r="AB27" s="34" t="s">
        <v>588</v>
      </c>
      <c r="AC27" s="34">
        <v>11</v>
      </c>
      <c r="AD27" s="34" t="s">
        <v>766</v>
      </c>
      <c r="AE27" s="34"/>
      <c r="AF27" s="34" t="s">
        <v>590</v>
      </c>
      <c r="AG27" s="38" cm="1">
        <f t="array" ref="AG27:AO27">_xlfn.LET(_xlpm.n,COUNTIFS($B$2:$B27,$B27,$M$2:$M27,$M27),_xlpm.res,IF($M27=1,_xlfn._xlws.FILTER('TABLETAS ESTUDIANTES'!$C$2:$K$1000,'TABLETAS ESTUDIANTES'!$B$2:$B$1000=$B27),_xlfn._xlws.FILTER('PORTATIL ESTUDIANTES'!$C$2:$K$1000,'PORTATIL ESTUDIANTES'!$B$2:$B$1000=$B27)),IFERROR(INDEX(_xlpm.res,_xlpm.n,_xlfn.SEQUENCE(1,9)),""))</f>
        <v>117495005407</v>
      </c>
      <c r="AH27" s="33" t="str">
        <v>INSTITUCIÓN EDUCATIVA SAN GERARDO MARIA MAYELA - SEDE PRINCIPAL</v>
      </c>
      <c r="AI27" s="33" t="str">
        <v>Norcasia</v>
      </c>
      <c r="AJ27" s="33" t="str">
        <v>ENTIDAD TERRITORIAL</v>
      </c>
      <c r="AK27" s="33" t="str">
        <v>COMITÉ DE FOCALIZACION 2026</v>
      </c>
      <c r="AL27" s="33">
        <v>45030</v>
      </c>
      <c r="AM27" s="33" t="str">
        <v>PORTÁTIL 14" HEWLETT PACKARD, PROBOOK 445 14 INCH G11 RYZEN 3 7335U - OC 148772</v>
      </c>
      <c r="AN27" s="33">
        <v>1</v>
      </c>
      <c r="AO27" s="33" t="str">
        <v>5CD5328V4X</v>
      </c>
    </row>
    <row r="28" spans="1:41" ht="130.5" x14ac:dyDescent="0.35">
      <c r="A28" s="34" t="s">
        <v>573</v>
      </c>
      <c r="B28" s="34">
        <v>21879</v>
      </c>
      <c r="C28" s="34" t="s">
        <v>574</v>
      </c>
      <c r="D28" s="34" t="s">
        <v>575</v>
      </c>
      <c r="E28" s="34">
        <v>17495</v>
      </c>
      <c r="F28" s="34" t="s">
        <v>432</v>
      </c>
      <c r="G28" s="35">
        <v>117495005407</v>
      </c>
      <c r="H28" s="34" t="s">
        <v>738</v>
      </c>
      <c r="I28" s="34">
        <v>117495005407</v>
      </c>
      <c r="J28" s="34" t="s">
        <v>431</v>
      </c>
      <c r="K28" s="34" t="s">
        <v>577</v>
      </c>
      <c r="L28" s="34">
        <v>1</v>
      </c>
      <c r="M28" s="36" t="s">
        <v>726</v>
      </c>
      <c r="N28" s="34" t="s">
        <v>767</v>
      </c>
      <c r="O28" s="34">
        <v>1010197892</v>
      </c>
      <c r="P28" s="34" t="s">
        <v>580</v>
      </c>
      <c r="Q28" s="34" t="s">
        <v>768</v>
      </c>
      <c r="R28" s="34">
        <v>3113919512</v>
      </c>
      <c r="S28" s="34" t="s">
        <v>741</v>
      </c>
      <c r="T28" s="34">
        <v>1028887846</v>
      </c>
      <c r="U28" s="34" t="s">
        <v>769</v>
      </c>
      <c r="V28" s="34" t="s">
        <v>711</v>
      </c>
      <c r="W28" s="34" t="s">
        <v>770</v>
      </c>
      <c r="X28" s="34" t="s">
        <v>771</v>
      </c>
      <c r="Y28" s="34"/>
      <c r="Z28" s="34" t="s">
        <v>772</v>
      </c>
      <c r="AA28" s="34">
        <v>16</v>
      </c>
      <c r="AB28" s="34" t="s">
        <v>588</v>
      </c>
      <c r="AC28" s="34">
        <v>11</v>
      </c>
      <c r="AD28" s="34" t="s">
        <v>773</v>
      </c>
      <c r="AE28" s="34"/>
      <c r="AF28" s="34" t="s">
        <v>590</v>
      </c>
      <c r="AG28" s="38" cm="1">
        <f t="array" ref="AG28:AO28">_xlfn.LET(_xlpm.n,COUNTIFS($B$2:$B28,$B28,$M$2:$M28,$M28),_xlpm.res,IF($M28=1,_xlfn._xlws.FILTER('TABLETAS ESTUDIANTES'!$C$2:$K$1000,'TABLETAS ESTUDIANTES'!$B$2:$B$1000=$B28),_xlfn._xlws.FILTER('PORTATIL ESTUDIANTES'!$C$2:$K$1000,'PORTATIL ESTUDIANTES'!$B$2:$B$1000=$B28)),IFERROR(INDEX(_xlpm.res,_xlpm.n,_xlfn.SEQUENCE(1,9)),""))</f>
        <v>117495005407</v>
      </c>
      <c r="AH28" s="33" t="str">
        <v>INSTITUCIÓN EDUCATIVA SAN GERARDO MARIA MAYELA - SEDE PRINCIPAL</v>
      </c>
      <c r="AI28" s="33" t="str">
        <v>Norcasia</v>
      </c>
      <c r="AJ28" s="33" t="str">
        <v>ENTIDAD TERRITORIAL</v>
      </c>
      <c r="AK28" s="33" t="str">
        <v>COMITÉ DE FOCALIZACION 2026</v>
      </c>
      <c r="AL28" s="33">
        <v>45030</v>
      </c>
      <c r="AM28" s="33" t="str">
        <v>PORTÁTIL 14" HEWLETT PACKARD, PROBOOK 445 14 INCH G11 RYZEN 3 7335U - OC 148772</v>
      </c>
      <c r="AN28" s="33">
        <v>1</v>
      </c>
      <c r="AO28" s="33" t="str">
        <v>5CD53276QB</v>
      </c>
    </row>
    <row r="29" spans="1:41" ht="130.5" x14ac:dyDescent="0.35">
      <c r="A29" s="34" t="s">
        <v>573</v>
      </c>
      <c r="B29" s="34">
        <v>21879</v>
      </c>
      <c r="C29" s="34" t="s">
        <v>574</v>
      </c>
      <c r="D29" s="34" t="s">
        <v>575</v>
      </c>
      <c r="E29" s="34">
        <v>17495</v>
      </c>
      <c r="F29" s="34" t="s">
        <v>432</v>
      </c>
      <c r="G29" s="35">
        <v>117495005407</v>
      </c>
      <c r="H29" s="34" t="s">
        <v>738</v>
      </c>
      <c r="I29" s="34">
        <v>117495005407</v>
      </c>
      <c r="J29" s="34" t="s">
        <v>431</v>
      </c>
      <c r="K29" s="34" t="s">
        <v>577</v>
      </c>
      <c r="L29" s="34">
        <v>1</v>
      </c>
      <c r="M29" s="36" t="s">
        <v>726</v>
      </c>
      <c r="N29" s="34" t="s">
        <v>774</v>
      </c>
      <c r="O29" s="34">
        <v>20830406</v>
      </c>
      <c r="P29" s="34" t="s">
        <v>580</v>
      </c>
      <c r="Q29" s="34" t="s">
        <v>775</v>
      </c>
      <c r="R29" s="34">
        <v>3137950163</v>
      </c>
      <c r="S29" s="34" t="s">
        <v>741</v>
      </c>
      <c r="T29" s="34">
        <v>1054554897</v>
      </c>
      <c r="U29" s="34" t="s">
        <v>742</v>
      </c>
      <c r="V29" s="34" t="s">
        <v>776</v>
      </c>
      <c r="W29" s="34" t="s">
        <v>777</v>
      </c>
      <c r="X29" s="34" t="s">
        <v>759</v>
      </c>
      <c r="Y29" s="34"/>
      <c r="Z29" s="37">
        <v>40153</v>
      </c>
      <c r="AA29" s="34">
        <v>16</v>
      </c>
      <c r="AB29" s="34" t="s">
        <v>598</v>
      </c>
      <c r="AC29" s="34">
        <v>11</v>
      </c>
      <c r="AD29" s="34" t="s">
        <v>778</v>
      </c>
      <c r="AE29" s="34"/>
      <c r="AF29" s="34" t="s">
        <v>590</v>
      </c>
      <c r="AG29" s="38" cm="1">
        <f t="array" ref="AG29:AO29">_xlfn.LET(_xlpm.n,COUNTIFS($B$2:$B29,$B29,$M$2:$M29,$M29),_xlpm.res,IF($M29=1,_xlfn._xlws.FILTER('TABLETAS ESTUDIANTES'!$C$2:$K$1000,'TABLETAS ESTUDIANTES'!$B$2:$B$1000=$B29),_xlfn._xlws.FILTER('PORTATIL ESTUDIANTES'!$C$2:$K$1000,'PORTATIL ESTUDIANTES'!$B$2:$B$1000=$B29)),IFERROR(INDEX(_xlpm.res,_xlpm.n,_xlfn.SEQUENCE(1,9)),""))</f>
        <v>117495005407</v>
      </c>
      <c r="AH29" s="33" t="str">
        <v>INSTITUCIÓN EDUCATIVA SAN GERARDO MARIA MAYELA - SEDE PRINCIPAL</v>
      </c>
      <c r="AI29" s="33" t="str">
        <v>Norcasia</v>
      </c>
      <c r="AJ29" s="33" t="str">
        <v>ENTIDAD TERRITORIAL</v>
      </c>
      <c r="AK29" s="33" t="str">
        <v>COMITÉ DE FOCALIZACION 2026</v>
      </c>
      <c r="AL29" s="33">
        <v>45030</v>
      </c>
      <c r="AM29" s="33" t="str">
        <v>PORTÁTIL 14" HEWLETT PACKARD, PROBOOK 445 14 INCH G11 RYZEN 3 7335U - OC 148772</v>
      </c>
      <c r="AN29" s="33">
        <v>1</v>
      </c>
      <c r="AO29" s="33" t="str">
        <v>5CD5320L80</v>
      </c>
    </row>
    <row r="30" spans="1:41" ht="130.5" x14ac:dyDescent="0.35">
      <c r="A30" s="34" t="s">
        <v>573</v>
      </c>
      <c r="B30" s="34">
        <v>21879</v>
      </c>
      <c r="C30" s="34" t="s">
        <v>574</v>
      </c>
      <c r="D30" s="34" t="s">
        <v>575</v>
      </c>
      <c r="E30" s="34">
        <v>17495</v>
      </c>
      <c r="F30" s="34" t="s">
        <v>432</v>
      </c>
      <c r="G30" s="35">
        <v>117495005407</v>
      </c>
      <c r="H30" s="34" t="s">
        <v>738</v>
      </c>
      <c r="I30" s="34">
        <v>117495005407</v>
      </c>
      <c r="J30" s="34" t="s">
        <v>431</v>
      </c>
      <c r="K30" s="34" t="s">
        <v>577</v>
      </c>
      <c r="L30" s="34">
        <v>1</v>
      </c>
      <c r="M30" s="36" t="s">
        <v>726</v>
      </c>
      <c r="N30" s="34" t="s">
        <v>779</v>
      </c>
      <c r="O30" s="34">
        <v>30351725</v>
      </c>
      <c r="P30" s="34" t="s">
        <v>580</v>
      </c>
      <c r="Q30" s="34" t="s">
        <v>780</v>
      </c>
      <c r="R30" s="34">
        <v>3235407721</v>
      </c>
      <c r="S30" s="34" t="s">
        <v>741</v>
      </c>
      <c r="T30" s="34">
        <v>1128625806</v>
      </c>
      <c r="U30" s="34" t="s">
        <v>781</v>
      </c>
      <c r="V30" s="34" t="s">
        <v>782</v>
      </c>
      <c r="W30" s="34" t="s">
        <v>698</v>
      </c>
      <c r="X30" s="34" t="s">
        <v>783</v>
      </c>
      <c r="Y30" s="34"/>
      <c r="Z30" s="34" t="s">
        <v>784</v>
      </c>
      <c r="AA30" s="34">
        <v>16</v>
      </c>
      <c r="AB30" s="34" t="s">
        <v>588</v>
      </c>
      <c r="AC30" s="34">
        <v>11</v>
      </c>
      <c r="AD30" s="34" t="s">
        <v>785</v>
      </c>
      <c r="AE30" s="34"/>
      <c r="AF30" s="34" t="s">
        <v>590</v>
      </c>
      <c r="AG30" s="38" cm="1">
        <f t="array" ref="AG30:AO30">_xlfn.LET(_xlpm.n,COUNTIFS($B$2:$B30,$B30,$M$2:$M30,$M30),_xlpm.res,IF($M30=1,_xlfn._xlws.FILTER('TABLETAS ESTUDIANTES'!$C$2:$K$1000,'TABLETAS ESTUDIANTES'!$B$2:$B$1000=$B30),_xlfn._xlws.FILTER('PORTATIL ESTUDIANTES'!$C$2:$K$1000,'PORTATIL ESTUDIANTES'!$B$2:$B$1000=$B30)),IFERROR(INDEX(_xlpm.res,_xlpm.n,_xlfn.SEQUENCE(1,9)),""))</f>
        <v>117495005407</v>
      </c>
      <c r="AH30" s="33" t="str">
        <v>INSTITUCIÓN EDUCATIVA SAN GERARDO MARIA MAYELA - SEDE PRINCIPAL</v>
      </c>
      <c r="AI30" s="33" t="str">
        <v>Norcasia</v>
      </c>
      <c r="AJ30" s="33" t="str">
        <v>ENTIDAD TERRITORIAL</v>
      </c>
      <c r="AK30" s="33" t="str">
        <v>COMITÉ DE FOCALIZACION 2026</v>
      </c>
      <c r="AL30" s="33">
        <v>45030</v>
      </c>
      <c r="AM30" s="33" t="str">
        <v>PORTÁTIL 14" HEWLETT PACKARD, PROBOOK 445 14 INCH G11 RYZEN 3 7335U - OC 148772</v>
      </c>
      <c r="AN30" s="33">
        <v>1</v>
      </c>
      <c r="AO30" s="33" t="str">
        <v>5CD5328TY5</v>
      </c>
    </row>
    <row r="31" spans="1:41" ht="130.5" x14ac:dyDescent="0.35">
      <c r="A31" s="34" t="s">
        <v>573</v>
      </c>
      <c r="B31" s="34">
        <v>21879</v>
      </c>
      <c r="C31" s="34" t="s">
        <v>574</v>
      </c>
      <c r="D31" s="34" t="s">
        <v>575</v>
      </c>
      <c r="E31" s="34">
        <v>17495</v>
      </c>
      <c r="F31" s="34" t="s">
        <v>432</v>
      </c>
      <c r="G31" s="35">
        <v>117495005407</v>
      </c>
      <c r="H31" s="34" t="s">
        <v>738</v>
      </c>
      <c r="I31" s="34">
        <v>117495005407</v>
      </c>
      <c r="J31" s="34" t="s">
        <v>431</v>
      </c>
      <c r="K31" s="34" t="s">
        <v>577</v>
      </c>
      <c r="L31" s="34">
        <v>1</v>
      </c>
      <c r="M31" s="36" t="s">
        <v>726</v>
      </c>
      <c r="N31" s="34" t="s">
        <v>786</v>
      </c>
      <c r="O31" s="34">
        <v>52763768</v>
      </c>
      <c r="P31" s="34" t="s">
        <v>580</v>
      </c>
      <c r="Q31" s="34" t="s">
        <v>787</v>
      </c>
      <c r="R31" s="34">
        <v>3103951780</v>
      </c>
      <c r="S31" s="34" t="s">
        <v>741</v>
      </c>
      <c r="T31" s="34">
        <v>1128628149</v>
      </c>
      <c r="U31" s="34" t="s">
        <v>788</v>
      </c>
      <c r="V31" s="34" t="s">
        <v>612</v>
      </c>
      <c r="W31" s="34" t="s">
        <v>596</v>
      </c>
      <c r="X31" s="34" t="s">
        <v>789</v>
      </c>
      <c r="Y31" s="34"/>
      <c r="Z31" s="34" t="s">
        <v>790</v>
      </c>
      <c r="AA31" s="34">
        <v>16</v>
      </c>
      <c r="AB31" s="34" t="s">
        <v>598</v>
      </c>
      <c r="AC31" s="34">
        <v>11</v>
      </c>
      <c r="AD31" s="34" t="s">
        <v>791</v>
      </c>
      <c r="AE31" s="34"/>
      <c r="AF31" s="34" t="s">
        <v>590</v>
      </c>
      <c r="AG31" s="38" cm="1">
        <f t="array" ref="AG31:AO31">_xlfn.LET(_xlpm.n,COUNTIFS($B$2:$B31,$B31,$M$2:$M31,$M31),_xlpm.res,IF($M31=1,_xlfn._xlws.FILTER('TABLETAS ESTUDIANTES'!$C$2:$K$1000,'TABLETAS ESTUDIANTES'!$B$2:$B$1000=$B31),_xlfn._xlws.FILTER('PORTATIL ESTUDIANTES'!$C$2:$K$1000,'PORTATIL ESTUDIANTES'!$B$2:$B$1000=$B31)),IFERROR(INDEX(_xlpm.res,_xlpm.n,_xlfn.SEQUENCE(1,9)),""))</f>
        <v>117495005407</v>
      </c>
      <c r="AH31" s="33" t="str">
        <v>INSTITUCIÓN EDUCATIVA SAN GERARDO MARIA MAYELA - SEDE PRINCIPAL</v>
      </c>
      <c r="AI31" s="33" t="str">
        <v>Norcasia</v>
      </c>
      <c r="AJ31" s="33" t="str">
        <v>ENTIDAD TERRITORIAL</v>
      </c>
      <c r="AK31" s="33" t="str">
        <v>COMITÉ DE FOCALIZACION 2026</v>
      </c>
      <c r="AL31" s="33">
        <v>45030</v>
      </c>
      <c r="AM31" s="33" t="str">
        <v>PORTÁTIL 14" HEWLETT PACKARD, PROBOOK 445 14 INCH G11 RYZEN 3 7335U - OC 148772</v>
      </c>
      <c r="AN31" s="33">
        <v>1</v>
      </c>
      <c r="AO31" s="33" t="str">
        <v>5CD532941L</v>
      </c>
    </row>
    <row r="32" spans="1:41" ht="130.5" x14ac:dyDescent="0.35">
      <c r="A32" s="34" t="s">
        <v>573</v>
      </c>
      <c r="B32" s="34">
        <v>21879</v>
      </c>
      <c r="C32" s="34" t="s">
        <v>574</v>
      </c>
      <c r="D32" s="34" t="s">
        <v>575</v>
      </c>
      <c r="E32" s="34">
        <v>17495</v>
      </c>
      <c r="F32" s="34" t="s">
        <v>432</v>
      </c>
      <c r="G32" s="35">
        <v>117495005407</v>
      </c>
      <c r="H32" s="34" t="s">
        <v>738</v>
      </c>
      <c r="I32" s="34">
        <v>117495005407</v>
      </c>
      <c r="J32" s="34" t="s">
        <v>431</v>
      </c>
      <c r="K32" s="34" t="s">
        <v>577</v>
      </c>
      <c r="L32" s="34" t="s">
        <v>578</v>
      </c>
      <c r="M32" s="36">
        <v>1</v>
      </c>
      <c r="N32" s="34" t="s">
        <v>792</v>
      </c>
      <c r="O32" s="34">
        <v>1128626243</v>
      </c>
      <c r="P32" s="34" t="s">
        <v>580</v>
      </c>
      <c r="Q32" s="34" t="s">
        <v>793</v>
      </c>
      <c r="R32" s="34">
        <v>3234821188</v>
      </c>
      <c r="S32" s="34" t="s">
        <v>741</v>
      </c>
      <c r="T32" s="34">
        <v>1128625920</v>
      </c>
      <c r="U32" s="34" t="s">
        <v>794</v>
      </c>
      <c r="V32" s="34" t="s">
        <v>795</v>
      </c>
      <c r="W32" s="34" t="s">
        <v>796</v>
      </c>
      <c r="X32" s="34" t="s">
        <v>797</v>
      </c>
      <c r="Y32" s="34"/>
      <c r="Z32" s="34" t="s">
        <v>798</v>
      </c>
      <c r="AA32" s="34">
        <v>16</v>
      </c>
      <c r="AB32" s="34" t="s">
        <v>598</v>
      </c>
      <c r="AC32" s="34">
        <v>11</v>
      </c>
      <c r="AD32" s="34" t="s">
        <v>799</v>
      </c>
      <c r="AE32" s="34"/>
      <c r="AF32" s="34" t="s">
        <v>590</v>
      </c>
      <c r="AG32" s="38" cm="1">
        <f t="array" ref="AG32:AO32">_xlfn.LET(_xlpm.n,COUNTIFS($B$2:$B32,$B32,$M$2:$M32,$M32),_xlpm.res,IF($M32=1,_xlfn._xlws.FILTER('TABLETAS ESTUDIANTES'!$C$2:$K$1000,'TABLETAS ESTUDIANTES'!$B$2:$B$1000=$B32),_xlfn._xlws.FILTER('PORTATIL ESTUDIANTES'!$C$2:$K$1000,'PORTATIL ESTUDIANTES'!$B$2:$B$1000=$B32)),IFERROR(INDEX(_xlpm.res,_xlpm.n,_xlfn.SEQUENCE(1,9)),""))</f>
        <v>117495005407</v>
      </c>
      <c r="AH32" s="33" t="str">
        <v>INSTITUCIÓN EDUCATIVA SAN GERARDO MARIA MAYELA - SEDE PRINCIPAL</v>
      </c>
      <c r="AI32" s="33" t="str">
        <v>Norcasia</v>
      </c>
      <c r="AJ32" s="33" t="str">
        <v>ENTIDAD TERRITORIAL</v>
      </c>
      <c r="AK32" s="33" t="str">
        <v>COMITÉ DE FOCALIZACION 2026</v>
      </c>
      <c r="AL32" s="33">
        <v>45053</v>
      </c>
      <c r="AM32" s="33" t="str">
        <v>BT TABLETA LENOVO IDEA TAB PRO  CTO 158-25</v>
      </c>
      <c r="AN32" s="33">
        <v>1</v>
      </c>
      <c r="AO32" s="33" t="str">
        <v>HA2HFAY6</v>
      </c>
    </row>
    <row r="33" spans="1:41" ht="130.5" x14ac:dyDescent="0.35">
      <c r="A33" s="34" t="s">
        <v>573</v>
      </c>
      <c r="B33" s="34">
        <v>21879</v>
      </c>
      <c r="C33" s="34" t="s">
        <v>574</v>
      </c>
      <c r="D33" s="34" t="s">
        <v>575</v>
      </c>
      <c r="E33" s="34">
        <v>17495</v>
      </c>
      <c r="F33" s="34" t="s">
        <v>432</v>
      </c>
      <c r="G33" s="35">
        <v>117495005407</v>
      </c>
      <c r="H33" s="34" t="s">
        <v>738</v>
      </c>
      <c r="I33" s="34">
        <v>117495005407</v>
      </c>
      <c r="J33" s="34" t="s">
        <v>431</v>
      </c>
      <c r="K33" s="34" t="s">
        <v>577</v>
      </c>
      <c r="L33" s="34" t="s">
        <v>578</v>
      </c>
      <c r="M33" s="36">
        <v>1</v>
      </c>
      <c r="N33" s="34" t="s">
        <v>800</v>
      </c>
      <c r="O33" s="34">
        <v>79829558</v>
      </c>
      <c r="P33" s="34" t="s">
        <v>649</v>
      </c>
      <c r="Q33" s="34" t="s">
        <v>801</v>
      </c>
      <c r="R33" s="34">
        <v>3057105273</v>
      </c>
      <c r="S33" s="34" t="s">
        <v>741</v>
      </c>
      <c r="T33" s="34">
        <v>1023386761</v>
      </c>
      <c r="U33" s="34" t="s">
        <v>802</v>
      </c>
      <c r="V33" s="34" t="s">
        <v>803</v>
      </c>
      <c r="W33" s="34" t="s">
        <v>804</v>
      </c>
      <c r="X33" s="34" t="s">
        <v>805</v>
      </c>
      <c r="Y33" s="34"/>
      <c r="Z33" s="34" t="s">
        <v>806</v>
      </c>
      <c r="AA33" s="34">
        <v>16</v>
      </c>
      <c r="AB33" s="34" t="s">
        <v>588</v>
      </c>
      <c r="AC33" s="34">
        <v>11</v>
      </c>
      <c r="AD33" s="34" t="s">
        <v>807</v>
      </c>
      <c r="AE33" s="34"/>
      <c r="AF33" s="34" t="s">
        <v>590</v>
      </c>
      <c r="AG33" s="38" cm="1">
        <f t="array" ref="AG33:AO33">_xlfn.LET(_xlpm.n,COUNTIFS($B$2:$B33,$B33,$M$2:$M33,$M33),_xlpm.res,IF($M33=1,_xlfn._xlws.FILTER('TABLETAS ESTUDIANTES'!$C$2:$K$1000,'TABLETAS ESTUDIANTES'!$B$2:$B$1000=$B33),_xlfn._xlws.FILTER('PORTATIL ESTUDIANTES'!$C$2:$K$1000,'PORTATIL ESTUDIANTES'!$B$2:$B$1000=$B33)),IFERROR(INDEX(_xlpm.res,_xlpm.n,_xlfn.SEQUENCE(1,9)),""))</f>
        <v>117495005407</v>
      </c>
      <c r="AH33" s="33" t="str">
        <v>INSTITUCIÓN EDUCATIVA SAN GERARDO MARIA MAYELA - SEDE PRINCIPAL</v>
      </c>
      <c r="AI33" s="33" t="str">
        <v>Norcasia</v>
      </c>
      <c r="AJ33" s="33" t="str">
        <v>ENTIDAD TERRITORIAL</v>
      </c>
      <c r="AK33" s="33" t="str">
        <v>COMITÉ DE FOCALIZACION 2026</v>
      </c>
      <c r="AL33" s="33">
        <v>45053</v>
      </c>
      <c r="AM33" s="33" t="str">
        <v>BT TABLETA LENOVO IDEA TAB PRO  CTO 158-25</v>
      </c>
      <c r="AN33" s="33">
        <v>1</v>
      </c>
      <c r="AO33" s="33" t="str">
        <v>HA2HGR1X</v>
      </c>
    </row>
    <row r="34" spans="1:41" ht="130.5" x14ac:dyDescent="0.35">
      <c r="A34" s="34" t="s">
        <v>573</v>
      </c>
      <c r="B34" s="34">
        <v>21879</v>
      </c>
      <c r="C34" s="34" t="s">
        <v>574</v>
      </c>
      <c r="D34" s="34" t="s">
        <v>575</v>
      </c>
      <c r="E34" s="34">
        <v>17495</v>
      </c>
      <c r="F34" s="34" t="s">
        <v>432</v>
      </c>
      <c r="G34" s="35">
        <v>117495005407</v>
      </c>
      <c r="H34" s="34" t="s">
        <v>738</v>
      </c>
      <c r="I34" s="34">
        <v>117495005407</v>
      </c>
      <c r="J34" s="34" t="s">
        <v>431</v>
      </c>
      <c r="K34" s="34" t="s">
        <v>577</v>
      </c>
      <c r="L34" s="34" t="s">
        <v>578</v>
      </c>
      <c r="M34" s="36">
        <v>1</v>
      </c>
      <c r="N34" s="34" t="s">
        <v>808</v>
      </c>
      <c r="O34" s="34">
        <v>1128624760</v>
      </c>
      <c r="P34" s="34" t="s">
        <v>580</v>
      </c>
      <c r="Q34" s="34" t="s">
        <v>809</v>
      </c>
      <c r="R34" s="34">
        <v>3103665111</v>
      </c>
      <c r="S34" s="34" t="s">
        <v>741</v>
      </c>
      <c r="T34" s="34">
        <v>1054556667</v>
      </c>
      <c r="U34" s="34" t="s">
        <v>810</v>
      </c>
      <c r="V34" s="34" t="s">
        <v>811</v>
      </c>
      <c r="W34" s="34" t="s">
        <v>812</v>
      </c>
      <c r="X34" s="34" t="s">
        <v>813</v>
      </c>
      <c r="Y34" s="34"/>
      <c r="Z34" s="37">
        <v>40213</v>
      </c>
      <c r="AA34" s="34">
        <v>15</v>
      </c>
      <c r="AB34" s="34" t="s">
        <v>588</v>
      </c>
      <c r="AC34" s="34">
        <v>11</v>
      </c>
      <c r="AD34" s="34" t="s">
        <v>814</v>
      </c>
      <c r="AE34" s="34"/>
      <c r="AF34" s="34" t="s">
        <v>590</v>
      </c>
      <c r="AG34" s="38" cm="1">
        <f t="array" ref="AG34:AO34">_xlfn.LET(_xlpm.n,COUNTIFS($B$2:$B34,$B34,$M$2:$M34,$M34),_xlpm.res,IF($M34=1,_xlfn._xlws.FILTER('TABLETAS ESTUDIANTES'!$C$2:$K$1000,'TABLETAS ESTUDIANTES'!$B$2:$B$1000=$B34),_xlfn._xlws.FILTER('PORTATIL ESTUDIANTES'!$C$2:$K$1000,'PORTATIL ESTUDIANTES'!$B$2:$B$1000=$B34)),IFERROR(INDEX(_xlpm.res,_xlpm.n,_xlfn.SEQUENCE(1,9)),""))</f>
        <v>117495005407</v>
      </c>
      <c r="AH34" s="33" t="str">
        <v>INSTITUCIÓN EDUCATIVA SAN GERARDO MARIA MAYELA - SEDE PRINCIPAL</v>
      </c>
      <c r="AI34" s="33" t="str">
        <v>Norcasia</v>
      </c>
      <c r="AJ34" s="33" t="str">
        <v>ENTIDAD TERRITORIAL</v>
      </c>
      <c r="AK34" s="33" t="str">
        <v>COMITÉ DE FOCALIZACION 2026</v>
      </c>
      <c r="AL34" s="33">
        <v>45053</v>
      </c>
      <c r="AM34" s="33" t="str">
        <v>BT TABLETA LENOVO IDEA TAB PRO  CTO 158-25</v>
      </c>
      <c r="AN34" s="33">
        <v>1</v>
      </c>
      <c r="AO34" s="33" t="str">
        <v>HA2HFN54</v>
      </c>
    </row>
    <row r="35" spans="1:41" ht="116" x14ac:dyDescent="0.35">
      <c r="A35" s="34" t="s">
        <v>573</v>
      </c>
      <c r="B35" s="34">
        <v>33116</v>
      </c>
      <c r="C35" s="34" t="s">
        <v>574</v>
      </c>
      <c r="D35" s="34" t="s">
        <v>575</v>
      </c>
      <c r="E35" s="34">
        <v>17513</v>
      </c>
      <c r="F35" s="34" t="s">
        <v>496</v>
      </c>
      <c r="G35" s="35">
        <v>117513000558</v>
      </c>
      <c r="H35" s="34" t="s">
        <v>815</v>
      </c>
      <c r="I35" s="34">
        <v>117513000558</v>
      </c>
      <c r="J35" s="34" t="s">
        <v>422</v>
      </c>
      <c r="K35" s="34" t="s">
        <v>577</v>
      </c>
      <c r="L35" s="34" t="s">
        <v>578</v>
      </c>
      <c r="M35" s="36">
        <v>1</v>
      </c>
      <c r="N35" s="34" t="s">
        <v>816</v>
      </c>
      <c r="O35" s="34">
        <v>1049620960</v>
      </c>
      <c r="P35" s="34" t="s">
        <v>580</v>
      </c>
      <c r="Q35" s="34" t="s">
        <v>817</v>
      </c>
      <c r="R35" s="34">
        <v>3204563976</v>
      </c>
      <c r="S35" s="34" t="s">
        <v>741</v>
      </c>
      <c r="T35" s="34">
        <v>1150435210</v>
      </c>
      <c r="U35" s="34" t="s">
        <v>658</v>
      </c>
      <c r="V35" s="34" t="s">
        <v>818</v>
      </c>
      <c r="W35" s="34" t="s">
        <v>819</v>
      </c>
      <c r="X35" s="34" t="s">
        <v>805</v>
      </c>
      <c r="Y35" s="34"/>
      <c r="Z35" s="37">
        <v>39910</v>
      </c>
      <c r="AA35" s="34">
        <v>16</v>
      </c>
      <c r="AB35" s="34" t="s">
        <v>588</v>
      </c>
      <c r="AC35" s="34">
        <v>11</v>
      </c>
      <c r="AD35" s="34" t="s">
        <v>820</v>
      </c>
      <c r="AE35" s="34"/>
      <c r="AF35" s="34" t="s">
        <v>590</v>
      </c>
      <c r="AG35" s="38" cm="1">
        <f t="array" ref="AG35:AO35">_xlfn.LET(_xlpm.n,COUNTIFS($B$2:$B35,$B35,$M$2:$M35,$M35),_xlpm.res,IF($M35=1,_xlfn._xlws.FILTER('TABLETAS ESTUDIANTES'!$C$2:$K$1000,'TABLETAS ESTUDIANTES'!$B$2:$B$1000=$B35),_xlfn._xlws.FILTER('PORTATIL ESTUDIANTES'!$C$2:$K$1000,'PORTATIL ESTUDIANTES'!$B$2:$B$1000=$B35)),IFERROR(INDEX(_xlpm.res,_xlpm.n,_xlfn.SEQUENCE(1,9)),""))</f>
        <v>117513000558</v>
      </c>
      <c r="AH35" s="33" t="str">
        <v>INSTITUCION EDUCATIVA MARCO FIDEL SUAREZ - SEDE PRINCIPAL</v>
      </c>
      <c r="AI35" s="33" t="str">
        <v>Pácora</v>
      </c>
      <c r="AJ35" s="33" t="str">
        <v>ENTIDAD TERRITORIAL</v>
      </c>
      <c r="AK35" s="33" t="str">
        <v>COMITÉ DE FOCALIZACION 2026</v>
      </c>
      <c r="AL35" s="33">
        <v>45053</v>
      </c>
      <c r="AM35" s="33" t="str">
        <v>BT TABLETA LENOVO IDEA TAB PRO  CTO 158-25</v>
      </c>
      <c r="AN35" s="33">
        <v>1</v>
      </c>
      <c r="AO35" s="33" t="str">
        <v>HA2HE653</v>
      </c>
    </row>
    <row r="36" spans="1:41" ht="116" x14ac:dyDescent="0.35">
      <c r="A36" s="34" t="s">
        <v>573</v>
      </c>
      <c r="B36" s="34">
        <v>84717</v>
      </c>
      <c r="C36" s="34" t="s">
        <v>574</v>
      </c>
      <c r="D36" s="34" t="s">
        <v>575</v>
      </c>
      <c r="E36" s="34">
        <v>17541</v>
      </c>
      <c r="F36" s="34" t="s">
        <v>443</v>
      </c>
      <c r="G36" s="35">
        <v>217541001360</v>
      </c>
      <c r="H36" s="34" t="s">
        <v>821</v>
      </c>
      <c r="I36" s="34">
        <v>217541001360</v>
      </c>
      <c r="J36" s="34" t="s">
        <v>503</v>
      </c>
      <c r="K36" s="34" t="s">
        <v>725</v>
      </c>
      <c r="L36" s="34" t="s">
        <v>578</v>
      </c>
      <c r="M36" s="36">
        <v>1</v>
      </c>
      <c r="N36" s="34" t="s">
        <v>822</v>
      </c>
      <c r="O36" s="34">
        <v>33745247</v>
      </c>
      <c r="P36" s="34" t="s">
        <v>580</v>
      </c>
      <c r="Q36" s="34" t="s">
        <v>823</v>
      </c>
      <c r="R36" s="34">
        <v>3116476363</v>
      </c>
      <c r="S36" s="34" t="s">
        <v>741</v>
      </c>
      <c r="T36" s="34">
        <v>1054870602</v>
      </c>
      <c r="U36" s="34" t="s">
        <v>824</v>
      </c>
      <c r="V36" s="34" t="s">
        <v>711</v>
      </c>
      <c r="W36" s="34" t="s">
        <v>825</v>
      </c>
      <c r="X36" s="34" t="s">
        <v>826</v>
      </c>
      <c r="Y36" s="34"/>
      <c r="Z36" s="37">
        <v>40091</v>
      </c>
      <c r="AA36" s="34">
        <v>16</v>
      </c>
      <c r="AB36" s="34" t="s">
        <v>588</v>
      </c>
      <c r="AC36" s="34">
        <v>11</v>
      </c>
      <c r="AD36" s="34" t="s">
        <v>827</v>
      </c>
      <c r="AE36" s="34"/>
      <c r="AF36" s="34" t="s">
        <v>590</v>
      </c>
      <c r="AG36" s="38" cm="1">
        <f t="array" ref="AG36:AO36">_xlfn.LET(_xlpm.n,COUNTIFS($B$2:$B36,$B36,$M$2:$M36,$M36),_xlpm.res,IF($M36=1,_xlfn._xlws.FILTER('TABLETAS ESTUDIANTES'!$C$2:$K$1000,'TABLETAS ESTUDIANTES'!$B$2:$B$1000=$B36),_xlfn._xlws.FILTER('PORTATIL ESTUDIANTES'!$C$2:$K$1000,'PORTATIL ESTUDIANTES'!$B$2:$B$1000=$B36)),IFERROR(INDEX(_xlpm.res,_xlpm.n,_xlfn.SEQUENCE(1,9)),""))</f>
        <v>217541001360</v>
      </c>
      <c r="AH36" s="33" t="str">
        <v>INSTITUCION EDUCATIVA CAMILO OLIMPO CARDONA - SEDE PRINCIPAL</v>
      </c>
      <c r="AI36" s="33" t="str">
        <v>Pensilvania</v>
      </c>
      <c r="AJ36" s="33" t="str">
        <v>ENTIDAD TERRITORIAL</v>
      </c>
      <c r="AK36" s="33" t="str">
        <v>COMITÉ DE FOCALIZACION 2026</v>
      </c>
      <c r="AL36" s="33">
        <v>45053</v>
      </c>
      <c r="AM36" s="33" t="str">
        <v>BT TABLETA LENOVO IDEA TAB PRO  CTO 158-25</v>
      </c>
      <c r="AN36" s="33">
        <v>1</v>
      </c>
      <c r="AO36" s="33" t="str">
        <v>HA2HGSGZ</v>
      </c>
    </row>
    <row r="37" spans="1:41" ht="116" x14ac:dyDescent="0.35">
      <c r="A37" s="34" t="s">
        <v>573</v>
      </c>
      <c r="B37" s="34">
        <v>84717</v>
      </c>
      <c r="C37" s="34" t="s">
        <v>574</v>
      </c>
      <c r="D37" s="34" t="s">
        <v>575</v>
      </c>
      <c r="E37" s="34">
        <v>17541</v>
      </c>
      <c r="F37" s="34" t="s">
        <v>443</v>
      </c>
      <c r="G37" s="35">
        <v>217541001360</v>
      </c>
      <c r="H37" s="34" t="s">
        <v>821</v>
      </c>
      <c r="I37" s="34">
        <v>217541001360</v>
      </c>
      <c r="J37" s="34" t="s">
        <v>503</v>
      </c>
      <c r="K37" s="34" t="s">
        <v>725</v>
      </c>
      <c r="L37" s="34" t="s">
        <v>578</v>
      </c>
      <c r="M37" s="36">
        <v>1</v>
      </c>
      <c r="N37" s="34" t="s">
        <v>828</v>
      </c>
      <c r="O37" s="34">
        <v>1057782107</v>
      </c>
      <c r="P37" s="34" t="s">
        <v>580</v>
      </c>
      <c r="Q37" s="34" t="s">
        <v>829</v>
      </c>
      <c r="R37" s="34">
        <v>3128970837</v>
      </c>
      <c r="S37" s="34" t="s">
        <v>741</v>
      </c>
      <c r="T37" s="34">
        <v>1054870861</v>
      </c>
      <c r="U37" s="34" t="s">
        <v>830</v>
      </c>
      <c r="V37" s="34" t="s">
        <v>831</v>
      </c>
      <c r="W37" s="34" t="s">
        <v>832</v>
      </c>
      <c r="X37" s="34" t="s">
        <v>833</v>
      </c>
      <c r="Y37" s="34"/>
      <c r="Z37" s="37">
        <v>40062</v>
      </c>
      <c r="AA37" s="34">
        <v>16</v>
      </c>
      <c r="AB37" s="34" t="s">
        <v>588</v>
      </c>
      <c r="AC37" s="34">
        <v>11</v>
      </c>
      <c r="AD37" s="34" t="s">
        <v>834</v>
      </c>
      <c r="AE37" s="34"/>
      <c r="AF37" s="34" t="s">
        <v>590</v>
      </c>
      <c r="AG37" s="38" cm="1">
        <f t="array" ref="AG37:AO37">_xlfn.LET(_xlpm.n,COUNTIFS($B$2:$B37,$B37,$M$2:$M37,$M37),_xlpm.res,IF($M37=1,_xlfn._xlws.FILTER('TABLETAS ESTUDIANTES'!$C$2:$K$1000,'TABLETAS ESTUDIANTES'!$B$2:$B$1000=$B37),_xlfn._xlws.FILTER('PORTATIL ESTUDIANTES'!$C$2:$K$1000,'PORTATIL ESTUDIANTES'!$B$2:$B$1000=$B37)),IFERROR(INDEX(_xlpm.res,_xlpm.n,_xlfn.SEQUENCE(1,9)),""))</f>
        <v>217541001360</v>
      </c>
      <c r="AH37" s="33" t="str">
        <v>INSTITUCION EDUCATIVA CAMILO OLIMPO CARDONA - SEDE PRINCIPAL</v>
      </c>
      <c r="AI37" s="33" t="str">
        <v>Pensilvania</v>
      </c>
      <c r="AJ37" s="33" t="str">
        <v>ENTIDAD TERRITORIAL</v>
      </c>
      <c r="AK37" s="33" t="str">
        <v>COMITÉ DE FOCALIZACION 2026</v>
      </c>
      <c r="AL37" s="33">
        <v>45053</v>
      </c>
      <c r="AM37" s="33" t="str">
        <v>BT TABLETA LENOVO IDEA TAB PRO  CTO 158-25</v>
      </c>
      <c r="AN37" s="33">
        <v>1</v>
      </c>
      <c r="AO37" s="33" t="str">
        <v>HA2HEC5J</v>
      </c>
    </row>
    <row r="38" spans="1:41" ht="116" x14ac:dyDescent="0.35">
      <c r="A38" s="34" t="s">
        <v>573</v>
      </c>
      <c r="B38" s="34">
        <v>84717</v>
      </c>
      <c r="C38" s="34" t="s">
        <v>574</v>
      </c>
      <c r="D38" s="34" t="s">
        <v>575</v>
      </c>
      <c r="E38" s="34">
        <v>17541</v>
      </c>
      <c r="F38" s="34" t="s">
        <v>443</v>
      </c>
      <c r="G38" s="35">
        <v>217541001360</v>
      </c>
      <c r="H38" s="34" t="s">
        <v>821</v>
      </c>
      <c r="I38" s="34">
        <v>217541001360</v>
      </c>
      <c r="J38" s="34" t="s">
        <v>503</v>
      </c>
      <c r="K38" s="34" t="s">
        <v>725</v>
      </c>
      <c r="L38" s="34" t="s">
        <v>578</v>
      </c>
      <c r="M38" s="36">
        <v>1</v>
      </c>
      <c r="N38" s="34" t="s">
        <v>835</v>
      </c>
      <c r="O38" s="34">
        <v>1010084314</v>
      </c>
      <c r="P38" s="34" t="s">
        <v>580</v>
      </c>
      <c r="Q38" s="34" t="s">
        <v>836</v>
      </c>
      <c r="R38" s="34">
        <v>3223952614</v>
      </c>
      <c r="S38" s="34" t="s">
        <v>741</v>
      </c>
      <c r="T38" s="34">
        <v>1161213361</v>
      </c>
      <c r="U38" s="34" t="s">
        <v>837</v>
      </c>
      <c r="V38" s="34" t="s">
        <v>838</v>
      </c>
      <c r="W38" s="34" t="s">
        <v>805</v>
      </c>
      <c r="X38" s="34" t="s">
        <v>839</v>
      </c>
      <c r="Y38" s="34"/>
      <c r="Z38" s="34" t="s">
        <v>840</v>
      </c>
      <c r="AA38" s="34">
        <v>17</v>
      </c>
      <c r="AB38" s="34" t="s">
        <v>588</v>
      </c>
      <c r="AC38" s="34">
        <v>11</v>
      </c>
      <c r="AD38" s="34" t="s">
        <v>841</v>
      </c>
      <c r="AE38" s="34"/>
      <c r="AF38" s="34" t="s">
        <v>590</v>
      </c>
      <c r="AG38" s="38" cm="1">
        <f t="array" ref="AG38:AO38">_xlfn.LET(_xlpm.n,COUNTIFS($B$2:$B38,$B38,$M$2:$M38,$M38),_xlpm.res,IF($M38=1,_xlfn._xlws.FILTER('TABLETAS ESTUDIANTES'!$C$2:$K$1000,'TABLETAS ESTUDIANTES'!$B$2:$B$1000=$B38),_xlfn._xlws.FILTER('PORTATIL ESTUDIANTES'!$C$2:$K$1000,'PORTATIL ESTUDIANTES'!$B$2:$B$1000=$B38)),IFERROR(INDEX(_xlpm.res,_xlpm.n,_xlfn.SEQUENCE(1,9)),""))</f>
        <v>217541001360</v>
      </c>
      <c r="AH38" s="33" t="str">
        <v>INSTITUCION EDUCATIVA CAMILO OLIMPO CARDONA - SEDE PRINCIPAL</v>
      </c>
      <c r="AI38" s="33" t="str">
        <v>Pensilvania</v>
      </c>
      <c r="AJ38" s="33" t="str">
        <v>ENTIDAD TERRITORIAL</v>
      </c>
      <c r="AK38" s="33" t="str">
        <v>COMITÉ DE FOCALIZACION 2026</v>
      </c>
      <c r="AL38" s="33">
        <v>45053</v>
      </c>
      <c r="AM38" s="33" t="str">
        <v>BT TABLETA LENOVO IDEA TAB PRO  CTO 158-25</v>
      </c>
      <c r="AN38" s="33">
        <v>1</v>
      </c>
      <c r="AO38" s="33" t="str">
        <v>HA2HEQ3G</v>
      </c>
    </row>
    <row r="39" spans="1:41" ht="116" x14ac:dyDescent="0.35">
      <c r="A39" s="34" t="s">
        <v>573</v>
      </c>
      <c r="B39" s="34">
        <v>84717</v>
      </c>
      <c r="C39" s="34" t="s">
        <v>574</v>
      </c>
      <c r="D39" s="34" t="s">
        <v>575</v>
      </c>
      <c r="E39" s="34">
        <v>17541</v>
      </c>
      <c r="F39" s="34" t="s">
        <v>443</v>
      </c>
      <c r="G39" s="35">
        <v>217541001360</v>
      </c>
      <c r="H39" s="34" t="s">
        <v>821</v>
      </c>
      <c r="I39" s="34">
        <v>217541001360</v>
      </c>
      <c r="J39" s="34" t="s">
        <v>503</v>
      </c>
      <c r="K39" s="34" t="s">
        <v>725</v>
      </c>
      <c r="L39" s="34" t="s">
        <v>578</v>
      </c>
      <c r="M39" s="36">
        <v>1</v>
      </c>
      <c r="N39" s="34" t="s">
        <v>842</v>
      </c>
      <c r="O39" s="34">
        <v>24738327</v>
      </c>
      <c r="P39" s="34" t="s">
        <v>580</v>
      </c>
      <c r="Q39" s="34" t="s">
        <v>843</v>
      </c>
      <c r="R39" s="34">
        <v>3123923709</v>
      </c>
      <c r="S39" s="34" t="s">
        <v>741</v>
      </c>
      <c r="T39" s="34">
        <v>1059119432</v>
      </c>
      <c r="U39" s="34" t="s">
        <v>703</v>
      </c>
      <c r="V39" s="34">
        <v>0</v>
      </c>
      <c r="W39" s="34" t="s">
        <v>833</v>
      </c>
      <c r="X39" s="34" t="s">
        <v>620</v>
      </c>
      <c r="Y39" s="34"/>
      <c r="Z39" s="34" t="s">
        <v>844</v>
      </c>
      <c r="AA39" s="34">
        <v>17</v>
      </c>
      <c r="AB39" s="34" t="s">
        <v>598</v>
      </c>
      <c r="AC39" s="34">
        <v>11</v>
      </c>
      <c r="AD39" s="34" t="s">
        <v>845</v>
      </c>
      <c r="AE39" s="34"/>
      <c r="AF39" s="34" t="s">
        <v>590</v>
      </c>
      <c r="AG39" s="38" cm="1">
        <f t="array" ref="AG39:AO39">_xlfn.LET(_xlpm.n,COUNTIFS($B$2:$B39,$B39,$M$2:$M39,$M39),_xlpm.res,IF($M39=1,_xlfn._xlws.FILTER('TABLETAS ESTUDIANTES'!$C$2:$K$1000,'TABLETAS ESTUDIANTES'!$B$2:$B$1000=$B39),_xlfn._xlws.FILTER('PORTATIL ESTUDIANTES'!$C$2:$K$1000,'PORTATIL ESTUDIANTES'!$B$2:$B$1000=$B39)),IFERROR(INDEX(_xlpm.res,_xlpm.n,_xlfn.SEQUENCE(1,9)),""))</f>
        <v>217541001360</v>
      </c>
      <c r="AH39" s="33" t="str">
        <v>INSTITUCION EDUCATIVA CAMILO OLIMPO CARDONA - SEDE PRINCIPAL</v>
      </c>
      <c r="AI39" s="33" t="str">
        <v>Pensilvania</v>
      </c>
      <c r="AJ39" s="33" t="str">
        <v>ENTIDAD TERRITORIAL</v>
      </c>
      <c r="AK39" s="33" t="str">
        <v>COMITÉ DE FOCALIZACION 2026</v>
      </c>
      <c r="AL39" s="33">
        <v>45053</v>
      </c>
      <c r="AM39" s="33" t="str">
        <v>BT TABLETA LENOVO IDEA TAB PRO  CTO 158-25</v>
      </c>
      <c r="AN39" s="33">
        <v>1</v>
      </c>
      <c r="AO39" s="33" t="str">
        <v>HA2HFC12</v>
      </c>
    </row>
    <row r="40" spans="1:41" ht="116" x14ac:dyDescent="0.35">
      <c r="A40" s="34" t="s">
        <v>573</v>
      </c>
      <c r="B40" s="34">
        <v>84717</v>
      </c>
      <c r="C40" s="34" t="s">
        <v>574</v>
      </c>
      <c r="D40" s="34" t="s">
        <v>575</v>
      </c>
      <c r="E40" s="34">
        <v>17541</v>
      </c>
      <c r="F40" s="34" t="s">
        <v>443</v>
      </c>
      <c r="G40" s="35">
        <v>217541001360</v>
      </c>
      <c r="H40" s="34" t="s">
        <v>821</v>
      </c>
      <c r="I40" s="34">
        <v>217541001360</v>
      </c>
      <c r="J40" s="34" t="s">
        <v>503</v>
      </c>
      <c r="K40" s="34" t="s">
        <v>725</v>
      </c>
      <c r="L40" s="34" t="s">
        <v>578</v>
      </c>
      <c r="M40" s="36">
        <v>1</v>
      </c>
      <c r="N40" s="34" t="s">
        <v>846</v>
      </c>
      <c r="O40" s="34">
        <v>9496622</v>
      </c>
      <c r="P40" s="34" t="s">
        <v>649</v>
      </c>
      <c r="Q40" s="34" t="s">
        <v>847</v>
      </c>
      <c r="R40" s="34">
        <v>3169947563</v>
      </c>
      <c r="S40" s="34" t="s">
        <v>741</v>
      </c>
      <c r="T40" s="34">
        <v>1055552513</v>
      </c>
      <c r="U40" s="34" t="s">
        <v>848</v>
      </c>
      <c r="V40" s="34" t="s">
        <v>849</v>
      </c>
      <c r="W40" s="34" t="s">
        <v>805</v>
      </c>
      <c r="X40" s="34" t="s">
        <v>850</v>
      </c>
      <c r="Y40" s="34"/>
      <c r="Z40" s="34" t="s">
        <v>851</v>
      </c>
      <c r="AA40" s="34">
        <v>15</v>
      </c>
      <c r="AB40" s="34" t="s">
        <v>588</v>
      </c>
      <c r="AC40" s="34">
        <v>11</v>
      </c>
      <c r="AD40" s="34" t="s">
        <v>845</v>
      </c>
      <c r="AE40" s="34"/>
      <c r="AF40" s="34" t="s">
        <v>590</v>
      </c>
      <c r="AG40" s="38" cm="1">
        <f t="array" ref="AG40:AO40">_xlfn.LET(_xlpm.n,COUNTIFS($B$2:$B40,$B40,$M$2:$M40,$M40),_xlpm.res,IF($M40=1,_xlfn._xlws.FILTER('TABLETAS ESTUDIANTES'!$C$2:$K$1000,'TABLETAS ESTUDIANTES'!$B$2:$B$1000=$B40),_xlfn._xlws.FILTER('PORTATIL ESTUDIANTES'!$C$2:$K$1000,'PORTATIL ESTUDIANTES'!$B$2:$B$1000=$B40)),IFERROR(INDEX(_xlpm.res,_xlpm.n,_xlfn.SEQUENCE(1,9)),""))</f>
        <v>217541001360</v>
      </c>
      <c r="AH40" s="33" t="str">
        <v>INSTITUCION EDUCATIVA CAMILO OLIMPO CARDONA - SEDE PRINCIPAL</v>
      </c>
      <c r="AI40" s="33" t="str">
        <v>Pensilvania</v>
      </c>
      <c r="AJ40" s="33" t="str">
        <v>ENTIDAD TERRITORIAL</v>
      </c>
      <c r="AK40" s="33" t="str">
        <v>COMITÉ DE FOCALIZACION 2026</v>
      </c>
      <c r="AL40" s="33">
        <v>45053</v>
      </c>
      <c r="AM40" s="33" t="str">
        <v>BT TABLETA LENOVO IDEA TAB PRO  CTO 158-25</v>
      </c>
      <c r="AN40" s="33">
        <v>1</v>
      </c>
      <c r="AO40" s="33" t="str">
        <v>HA2HFB0X</v>
      </c>
    </row>
    <row r="41" spans="1:41" ht="116" x14ac:dyDescent="0.35">
      <c r="A41" s="34" t="s">
        <v>573</v>
      </c>
      <c r="B41" s="34">
        <v>84717</v>
      </c>
      <c r="C41" s="34" t="s">
        <v>574</v>
      </c>
      <c r="D41" s="34" t="s">
        <v>575</v>
      </c>
      <c r="E41" s="34">
        <v>17541</v>
      </c>
      <c r="F41" s="34" t="s">
        <v>443</v>
      </c>
      <c r="G41" s="35">
        <v>217541001360</v>
      </c>
      <c r="H41" s="34" t="s">
        <v>821</v>
      </c>
      <c r="I41" s="34">
        <v>217541001360</v>
      </c>
      <c r="J41" s="34" t="s">
        <v>503</v>
      </c>
      <c r="K41" s="34" t="s">
        <v>725</v>
      </c>
      <c r="L41" s="34" t="s">
        <v>578</v>
      </c>
      <c r="M41" s="36">
        <v>1</v>
      </c>
      <c r="N41" s="34" t="s">
        <v>846</v>
      </c>
      <c r="O41" s="34">
        <v>9496622</v>
      </c>
      <c r="P41" s="34" t="s">
        <v>649</v>
      </c>
      <c r="Q41" s="34" t="s">
        <v>836</v>
      </c>
      <c r="R41" s="34">
        <v>3169947563</v>
      </c>
      <c r="S41" s="34" t="s">
        <v>741</v>
      </c>
      <c r="T41" s="34">
        <v>1055552178</v>
      </c>
      <c r="U41" s="34" t="s">
        <v>852</v>
      </c>
      <c r="V41" s="34" t="s">
        <v>853</v>
      </c>
      <c r="W41" s="34" t="s">
        <v>805</v>
      </c>
      <c r="X41" s="34" t="s">
        <v>850</v>
      </c>
      <c r="Y41" s="34"/>
      <c r="Z41" s="34" t="s">
        <v>854</v>
      </c>
      <c r="AA41" s="34">
        <v>17</v>
      </c>
      <c r="AB41" s="34" t="s">
        <v>598</v>
      </c>
      <c r="AC41" s="34">
        <v>11</v>
      </c>
      <c r="AD41" s="34" t="s">
        <v>845</v>
      </c>
      <c r="AE41" s="34"/>
      <c r="AF41" s="34" t="s">
        <v>590</v>
      </c>
      <c r="AG41" s="38" cm="1">
        <f t="array" ref="AG41:AO41">_xlfn.LET(_xlpm.n,COUNTIFS($B$2:$B41,$B41,$M$2:$M41,$M41),_xlpm.res,IF($M41=1,_xlfn._xlws.FILTER('TABLETAS ESTUDIANTES'!$C$2:$K$1000,'TABLETAS ESTUDIANTES'!$B$2:$B$1000=$B41),_xlfn._xlws.FILTER('PORTATIL ESTUDIANTES'!$C$2:$K$1000,'PORTATIL ESTUDIANTES'!$B$2:$B$1000=$B41)),IFERROR(INDEX(_xlpm.res,_xlpm.n,_xlfn.SEQUENCE(1,9)),""))</f>
        <v>217541001360</v>
      </c>
      <c r="AH41" s="33" t="str">
        <v>INSTITUCION EDUCATIVA CAMILO OLIMPO CARDONA - SEDE PRINCIPAL</v>
      </c>
      <c r="AI41" s="33" t="str">
        <v>Pensilvania</v>
      </c>
      <c r="AJ41" s="33" t="str">
        <v>ENTIDAD TERRITORIAL</v>
      </c>
      <c r="AK41" s="33" t="str">
        <v>COMITÉ DE FOCALIZACION 2026</v>
      </c>
      <c r="AL41" s="33">
        <v>45053</v>
      </c>
      <c r="AM41" s="33" t="str">
        <v>BT TABLETA LENOVO IDEA TAB PRO  CTO 158-25</v>
      </c>
      <c r="AN41" s="33">
        <v>1</v>
      </c>
      <c r="AO41" s="33" t="str">
        <v>HA2HGSHJ</v>
      </c>
    </row>
    <row r="42" spans="1:41" ht="43.5" x14ac:dyDescent="0.35">
      <c r="A42" s="34" t="s">
        <v>573</v>
      </c>
      <c r="B42" s="34">
        <v>83042</v>
      </c>
      <c r="C42" s="34" t="s">
        <v>574</v>
      </c>
      <c r="D42" s="34" t="s">
        <v>575</v>
      </c>
      <c r="E42" s="34">
        <v>17541</v>
      </c>
      <c r="F42" s="34" t="s">
        <v>443</v>
      </c>
      <c r="G42" s="35">
        <v>217541000673</v>
      </c>
      <c r="H42" s="34" t="s">
        <v>855</v>
      </c>
      <c r="I42" s="34">
        <v>217541000673</v>
      </c>
      <c r="J42" s="34" t="s">
        <v>498</v>
      </c>
      <c r="K42" s="34" t="s">
        <v>725</v>
      </c>
      <c r="L42" s="34" t="s">
        <v>578</v>
      </c>
      <c r="M42" s="36">
        <v>1</v>
      </c>
      <c r="N42" s="34" t="s">
        <v>856</v>
      </c>
      <c r="O42" s="34">
        <v>33745896</v>
      </c>
      <c r="P42" s="34" t="s">
        <v>580</v>
      </c>
      <c r="Q42" s="34" t="s">
        <v>857</v>
      </c>
      <c r="R42" s="34">
        <v>3136387358</v>
      </c>
      <c r="S42" s="34" t="s">
        <v>741</v>
      </c>
      <c r="T42" s="34">
        <v>1054556004</v>
      </c>
      <c r="U42" s="34" t="s">
        <v>858</v>
      </c>
      <c r="V42" s="34">
        <v>0</v>
      </c>
      <c r="W42" s="34" t="s">
        <v>859</v>
      </c>
      <c r="X42" s="34">
        <v>0</v>
      </c>
      <c r="Y42" s="34"/>
      <c r="Z42" s="37">
        <v>39856</v>
      </c>
      <c r="AA42" s="34">
        <v>16</v>
      </c>
      <c r="AB42" s="34" t="s">
        <v>588</v>
      </c>
      <c r="AC42" s="34">
        <v>11</v>
      </c>
      <c r="AD42" s="34" t="s">
        <v>860</v>
      </c>
      <c r="AE42" s="34"/>
      <c r="AF42" s="34" t="s">
        <v>590</v>
      </c>
      <c r="AG42" s="38" cm="1">
        <f t="array" ref="AG42:AO42">_xlfn.LET(_xlpm.n,COUNTIFS($B$2:$B42,$B42,$M$2:$M42,$M42),_xlpm.res,IF($M42=1,_xlfn._xlws.FILTER('TABLETAS ESTUDIANTES'!$C$2:$K$1000,'TABLETAS ESTUDIANTES'!$B$2:$B$1000=$B42),_xlfn._xlws.FILTER('PORTATIL ESTUDIANTES'!$C$2:$K$1000,'PORTATIL ESTUDIANTES'!$B$2:$B$1000=$B42)),IFERROR(INDEX(_xlpm.res,_xlpm.n,_xlfn.SEQUENCE(1,9)),""))</f>
        <v>217541000673</v>
      </c>
      <c r="AH42" s="33" t="str">
        <v>COLEGIO JHON F. KENNEDY</v>
      </c>
      <c r="AI42" s="33" t="str">
        <v>Pensilvania</v>
      </c>
      <c r="AJ42" s="33" t="str">
        <v>ENTIDAD TERRITORIAL</v>
      </c>
      <c r="AK42" s="33" t="str">
        <v>COMITÉ DE FOCALIZACION 2026</v>
      </c>
      <c r="AL42" s="33">
        <v>45053</v>
      </c>
      <c r="AM42" s="33" t="str">
        <v>BT TABLETA LENOVO IDEA TAB PRO  CTO 158-25</v>
      </c>
      <c r="AN42" s="33">
        <v>1</v>
      </c>
      <c r="AO42" s="33" t="str">
        <v>HA2HEA4N</v>
      </c>
    </row>
    <row r="43" spans="1:41" ht="43.5" x14ac:dyDescent="0.35">
      <c r="A43" s="34" t="s">
        <v>573</v>
      </c>
      <c r="B43" s="34">
        <v>83042</v>
      </c>
      <c r="C43" s="34" t="s">
        <v>574</v>
      </c>
      <c r="D43" s="34" t="s">
        <v>575</v>
      </c>
      <c r="E43" s="34">
        <v>17541</v>
      </c>
      <c r="F43" s="34" t="s">
        <v>443</v>
      </c>
      <c r="G43" s="35">
        <v>217541000673</v>
      </c>
      <c r="H43" s="34" t="s">
        <v>855</v>
      </c>
      <c r="I43" s="34">
        <v>217541000673</v>
      </c>
      <c r="J43" s="34" t="s">
        <v>498</v>
      </c>
      <c r="K43" s="34" t="s">
        <v>725</v>
      </c>
      <c r="L43" s="34" t="s">
        <v>578</v>
      </c>
      <c r="M43" s="36">
        <v>1</v>
      </c>
      <c r="N43" s="34" t="s">
        <v>861</v>
      </c>
      <c r="O43" s="34">
        <v>24731289</v>
      </c>
      <c r="P43" s="34" t="s">
        <v>580</v>
      </c>
      <c r="Q43" s="34" t="s">
        <v>862</v>
      </c>
      <c r="R43" s="34">
        <v>3226054617</v>
      </c>
      <c r="S43" s="34" t="s">
        <v>741</v>
      </c>
      <c r="T43" s="34">
        <v>1057785114</v>
      </c>
      <c r="U43" s="34" t="s">
        <v>863</v>
      </c>
      <c r="V43" s="34">
        <v>0</v>
      </c>
      <c r="W43" s="34" t="s">
        <v>864</v>
      </c>
      <c r="X43" s="34" t="s">
        <v>679</v>
      </c>
      <c r="Y43" s="34"/>
      <c r="Z43" s="37">
        <v>39971</v>
      </c>
      <c r="AA43" s="34">
        <v>16</v>
      </c>
      <c r="AB43" s="34" t="s">
        <v>588</v>
      </c>
      <c r="AC43" s="34">
        <v>11</v>
      </c>
      <c r="AD43" s="34" t="s">
        <v>865</v>
      </c>
      <c r="AE43" s="34"/>
      <c r="AF43" s="34" t="s">
        <v>590</v>
      </c>
      <c r="AG43" s="38" cm="1">
        <f t="array" ref="AG43:AO43">_xlfn.LET(_xlpm.n,COUNTIFS($B$2:$B43,$B43,$M$2:$M43,$M43),_xlpm.res,IF($M43=1,_xlfn._xlws.FILTER('TABLETAS ESTUDIANTES'!$C$2:$K$1000,'TABLETAS ESTUDIANTES'!$B$2:$B$1000=$B43),_xlfn._xlws.FILTER('PORTATIL ESTUDIANTES'!$C$2:$K$1000,'PORTATIL ESTUDIANTES'!$B$2:$B$1000=$B43)),IFERROR(INDEX(_xlpm.res,_xlpm.n,_xlfn.SEQUENCE(1,9)),""))</f>
        <v>217541000673</v>
      </c>
      <c r="AH43" s="33" t="str">
        <v>COLEGIO JHON F. KENNEDY</v>
      </c>
      <c r="AI43" s="33" t="str">
        <v>Pensilvania</v>
      </c>
      <c r="AJ43" s="33" t="str">
        <v>ENTIDAD TERRITORIAL</v>
      </c>
      <c r="AK43" s="33" t="str">
        <v>COMITÉ DE FOCALIZACION 2026</v>
      </c>
      <c r="AL43" s="33">
        <v>45053</v>
      </c>
      <c r="AM43" s="33" t="str">
        <v>BT TABLETA LENOVO IDEA TAB PRO  CTO 158-25</v>
      </c>
      <c r="AN43" s="33">
        <v>1</v>
      </c>
      <c r="AO43" s="33" t="str">
        <v>HA2HE863</v>
      </c>
    </row>
    <row r="44" spans="1:41" ht="43.5" x14ac:dyDescent="0.35">
      <c r="A44" s="34" t="s">
        <v>573</v>
      </c>
      <c r="B44" s="34">
        <v>83042</v>
      </c>
      <c r="C44" s="34" t="s">
        <v>574</v>
      </c>
      <c r="D44" s="34" t="s">
        <v>575</v>
      </c>
      <c r="E44" s="34">
        <v>17541</v>
      </c>
      <c r="F44" s="34" t="s">
        <v>443</v>
      </c>
      <c r="G44" s="35">
        <v>217541000673</v>
      </c>
      <c r="H44" s="34" t="s">
        <v>855</v>
      </c>
      <c r="I44" s="34">
        <v>217541000673</v>
      </c>
      <c r="J44" s="34" t="s">
        <v>498</v>
      </c>
      <c r="K44" s="34" t="s">
        <v>725</v>
      </c>
      <c r="L44" s="34" t="s">
        <v>578</v>
      </c>
      <c r="M44" s="36">
        <v>1</v>
      </c>
      <c r="N44" s="34" t="s">
        <v>866</v>
      </c>
      <c r="O44" s="34">
        <v>33745226</v>
      </c>
      <c r="P44" s="34" t="s">
        <v>867</v>
      </c>
      <c r="Q44" s="34" t="s">
        <v>868</v>
      </c>
      <c r="R44" s="34">
        <v>3108284150</v>
      </c>
      <c r="S44" s="34" t="s">
        <v>741</v>
      </c>
      <c r="T44" s="34">
        <v>1054873667</v>
      </c>
      <c r="U44" s="34" t="s">
        <v>869</v>
      </c>
      <c r="V44" s="34">
        <v>0</v>
      </c>
      <c r="W44" s="34" t="s">
        <v>596</v>
      </c>
      <c r="X44" s="34" t="s">
        <v>705</v>
      </c>
      <c r="Y44" s="34"/>
      <c r="Z44" s="37">
        <v>40456</v>
      </c>
      <c r="AA44" s="34">
        <v>15</v>
      </c>
      <c r="AB44" s="34" t="s">
        <v>588</v>
      </c>
      <c r="AC44" s="34">
        <v>11</v>
      </c>
      <c r="AD44" s="34" t="s">
        <v>870</v>
      </c>
      <c r="AE44" s="34"/>
      <c r="AF44" s="34" t="s">
        <v>590</v>
      </c>
      <c r="AG44" s="38" cm="1">
        <f t="array" ref="AG44:AO44">_xlfn.LET(_xlpm.n,COUNTIFS($B$2:$B44,$B44,$M$2:$M44,$M44),_xlpm.res,IF($M44=1,_xlfn._xlws.FILTER('TABLETAS ESTUDIANTES'!$C$2:$K$1000,'TABLETAS ESTUDIANTES'!$B$2:$B$1000=$B44),_xlfn._xlws.FILTER('PORTATIL ESTUDIANTES'!$C$2:$K$1000,'PORTATIL ESTUDIANTES'!$B$2:$B$1000=$B44)),IFERROR(INDEX(_xlpm.res,_xlpm.n,_xlfn.SEQUENCE(1,9)),""))</f>
        <v>217541000673</v>
      </c>
      <c r="AH44" s="33" t="str">
        <v>COLEGIO JHON F. KENNEDY</v>
      </c>
      <c r="AI44" s="33" t="str">
        <v>Pensilvania</v>
      </c>
      <c r="AJ44" s="33" t="str">
        <v>ENTIDAD TERRITORIAL</v>
      </c>
      <c r="AK44" s="33" t="str">
        <v>COMITÉ DE FOCALIZACION 2026</v>
      </c>
      <c r="AL44" s="33">
        <v>45053</v>
      </c>
      <c r="AM44" s="33" t="str">
        <v>BT TABLETA LENOVO IDEA TAB PRO  CTO 158-25</v>
      </c>
      <c r="AN44" s="33">
        <v>1</v>
      </c>
      <c r="AO44" s="33" t="str">
        <v>HA2HES8T</v>
      </c>
    </row>
    <row r="45" spans="1:41" ht="43.5" x14ac:dyDescent="0.35">
      <c r="A45" s="34" t="s">
        <v>573</v>
      </c>
      <c r="B45" s="34">
        <v>83042</v>
      </c>
      <c r="C45" s="34" t="s">
        <v>574</v>
      </c>
      <c r="D45" s="34" t="s">
        <v>575</v>
      </c>
      <c r="E45" s="34">
        <v>17541</v>
      </c>
      <c r="F45" s="34" t="s">
        <v>443</v>
      </c>
      <c r="G45" s="35">
        <v>217541000673</v>
      </c>
      <c r="H45" s="34" t="s">
        <v>855</v>
      </c>
      <c r="I45" s="34">
        <v>217541000673</v>
      </c>
      <c r="J45" s="34" t="s">
        <v>498</v>
      </c>
      <c r="K45" s="34" t="s">
        <v>725</v>
      </c>
      <c r="L45" s="34" t="s">
        <v>578</v>
      </c>
      <c r="M45" s="36">
        <v>1</v>
      </c>
      <c r="N45" s="34" t="s">
        <v>871</v>
      </c>
      <c r="O45" s="34">
        <v>1058845626</v>
      </c>
      <c r="P45" s="34" t="s">
        <v>580</v>
      </c>
      <c r="Q45" s="34" t="s">
        <v>862</v>
      </c>
      <c r="R45" s="34">
        <v>3208498116</v>
      </c>
      <c r="S45" s="34" t="s">
        <v>741</v>
      </c>
      <c r="T45" s="34">
        <v>1055047329</v>
      </c>
      <c r="U45" s="34" t="s">
        <v>872</v>
      </c>
      <c r="V45" s="34" t="s">
        <v>711</v>
      </c>
      <c r="W45" s="34" t="s">
        <v>645</v>
      </c>
      <c r="X45" s="34" t="s">
        <v>873</v>
      </c>
      <c r="Y45" s="34"/>
      <c r="Z45" s="34" t="s">
        <v>874</v>
      </c>
      <c r="AA45" s="34">
        <v>16</v>
      </c>
      <c r="AB45" s="34" t="s">
        <v>588</v>
      </c>
      <c r="AC45" s="34">
        <v>11</v>
      </c>
      <c r="AD45" s="34" t="s">
        <v>875</v>
      </c>
      <c r="AE45" s="34"/>
      <c r="AF45" s="34" t="s">
        <v>590</v>
      </c>
      <c r="AG45" s="38" cm="1">
        <f t="array" ref="AG45:AO45">_xlfn.LET(_xlpm.n,COUNTIFS($B$2:$B45,$B45,$M$2:$M45,$M45),_xlpm.res,IF($M45=1,_xlfn._xlws.FILTER('TABLETAS ESTUDIANTES'!$C$2:$K$1000,'TABLETAS ESTUDIANTES'!$B$2:$B$1000=$B45),_xlfn._xlws.FILTER('PORTATIL ESTUDIANTES'!$C$2:$K$1000,'PORTATIL ESTUDIANTES'!$B$2:$B$1000=$B45)),IFERROR(INDEX(_xlpm.res,_xlpm.n,_xlfn.SEQUENCE(1,9)),""))</f>
        <v>217541000673</v>
      </c>
      <c r="AH45" s="33" t="str">
        <v>COLEGIO JHON F. KENNEDY</v>
      </c>
      <c r="AI45" s="33" t="str">
        <v>Pensilvania</v>
      </c>
      <c r="AJ45" s="33" t="str">
        <v>ENTIDAD TERRITORIAL</v>
      </c>
      <c r="AK45" s="33" t="str">
        <v>COMITÉ DE FOCALIZACION 2026</v>
      </c>
      <c r="AL45" s="33">
        <v>45053</v>
      </c>
      <c r="AM45" s="33" t="str">
        <v>BT TABLETA LENOVO IDEA TAB PRO  CTO 158-25</v>
      </c>
      <c r="AN45" s="33">
        <v>1</v>
      </c>
      <c r="AO45" s="33" t="str">
        <v>HA2HGS2T</v>
      </c>
    </row>
    <row r="46" spans="1:41" ht="87" x14ac:dyDescent="0.35">
      <c r="A46" s="34" t="s">
        <v>573</v>
      </c>
      <c r="B46" s="34">
        <v>86476</v>
      </c>
      <c r="C46" s="34" t="s">
        <v>574</v>
      </c>
      <c r="D46" s="34" t="s">
        <v>575</v>
      </c>
      <c r="E46" s="34">
        <v>17614</v>
      </c>
      <c r="F46" s="34" t="s">
        <v>445</v>
      </c>
      <c r="G46" s="35">
        <v>217614000928</v>
      </c>
      <c r="H46" s="34" t="s">
        <v>876</v>
      </c>
      <c r="I46" s="34">
        <v>217614000928</v>
      </c>
      <c r="J46" s="34" t="s">
        <v>454</v>
      </c>
      <c r="K46" s="34" t="s">
        <v>725</v>
      </c>
      <c r="L46" s="34">
        <v>1</v>
      </c>
      <c r="M46" s="36" t="s">
        <v>726</v>
      </c>
      <c r="N46" s="34" t="s">
        <v>877</v>
      </c>
      <c r="O46" s="34">
        <v>1059704460</v>
      </c>
      <c r="P46" s="34" t="s">
        <v>580</v>
      </c>
      <c r="Q46" s="34" t="s">
        <v>878</v>
      </c>
      <c r="R46" s="34">
        <v>3206242697</v>
      </c>
      <c r="S46" s="34" t="s">
        <v>741</v>
      </c>
      <c r="T46" s="34">
        <v>1059703125</v>
      </c>
      <c r="U46" s="34" t="s">
        <v>879</v>
      </c>
      <c r="V46" s="34">
        <v>0</v>
      </c>
      <c r="W46" s="34" t="s">
        <v>880</v>
      </c>
      <c r="X46" s="34" t="s">
        <v>881</v>
      </c>
      <c r="Y46" s="34"/>
      <c r="Z46" s="34" t="s">
        <v>882</v>
      </c>
      <c r="AA46" s="34">
        <v>16</v>
      </c>
      <c r="AB46" s="34" t="s">
        <v>598</v>
      </c>
      <c r="AC46" s="34">
        <v>11</v>
      </c>
      <c r="AD46" s="34" t="s">
        <v>883</v>
      </c>
      <c r="AE46" s="34"/>
      <c r="AF46" s="34" t="s">
        <v>590</v>
      </c>
      <c r="AG46" s="38" cm="1">
        <f t="array" ref="AG46:AO46">_xlfn.LET(_xlpm.n,COUNTIFS($B$2:$B46,$B46,$M$2:$M46,$M46),_xlpm.res,IF($M46=1,_xlfn._xlws.FILTER('TABLETAS ESTUDIANTES'!$C$2:$K$1000,'TABLETAS ESTUDIANTES'!$B$2:$B$1000=$B46),_xlfn._xlws.FILTER('PORTATIL ESTUDIANTES'!$C$2:$K$1000,'PORTATIL ESTUDIANTES'!$B$2:$B$1000=$B46)),IFERROR(INDEX(_xlpm.res,_xlpm.n,_xlfn.SEQUENCE(1,9)),""))</f>
        <v>217614000928</v>
      </c>
      <c r="AH46" s="33" t="str">
        <v>INSTITUCION EDUCATIVA LA IBERIA - SEDE PRINCIPAL</v>
      </c>
      <c r="AI46" s="33" t="str">
        <v>Riosucio</v>
      </c>
      <c r="AJ46" s="33" t="str">
        <v>ENTIDAD TERRITORIAL</v>
      </c>
      <c r="AK46" s="33" t="str">
        <v>COMITÉ DE FOCALIZACION 2026</v>
      </c>
      <c r="AL46" s="33">
        <v>45030</v>
      </c>
      <c r="AM46" s="33" t="str">
        <v>PORTÁTIL 14" HEWLETT PACKARD, PROBOOK 445 14 INCH G11 RYZEN 3 7335U - OC 148772</v>
      </c>
      <c r="AN46" s="33">
        <v>1</v>
      </c>
      <c r="AO46" s="33" t="str">
        <v>5CD532940G</v>
      </c>
    </row>
    <row r="47" spans="1:41" ht="87" x14ac:dyDescent="0.35">
      <c r="A47" s="34" t="s">
        <v>573</v>
      </c>
      <c r="B47" s="34">
        <v>86476</v>
      </c>
      <c r="C47" s="34" t="s">
        <v>574</v>
      </c>
      <c r="D47" s="34" t="s">
        <v>575</v>
      </c>
      <c r="E47" s="34">
        <v>17614</v>
      </c>
      <c r="F47" s="34" t="s">
        <v>445</v>
      </c>
      <c r="G47" s="35">
        <v>217614000928</v>
      </c>
      <c r="H47" s="34" t="s">
        <v>876</v>
      </c>
      <c r="I47" s="34">
        <v>217614000928</v>
      </c>
      <c r="J47" s="34" t="s">
        <v>454</v>
      </c>
      <c r="K47" s="34" t="s">
        <v>725</v>
      </c>
      <c r="L47" s="34">
        <v>1</v>
      </c>
      <c r="M47" s="36" t="s">
        <v>726</v>
      </c>
      <c r="N47" s="34" t="s">
        <v>884</v>
      </c>
      <c r="O47" s="34">
        <v>30382644</v>
      </c>
      <c r="P47" s="34" t="s">
        <v>580</v>
      </c>
      <c r="Q47" s="34" t="s">
        <v>885</v>
      </c>
      <c r="R47" s="34">
        <v>3165653969</v>
      </c>
      <c r="S47" s="34" t="s">
        <v>741</v>
      </c>
      <c r="T47" s="34">
        <v>1059703010</v>
      </c>
      <c r="U47" s="34" t="s">
        <v>886</v>
      </c>
      <c r="V47" s="34" t="s">
        <v>887</v>
      </c>
      <c r="W47" s="34" t="s">
        <v>888</v>
      </c>
      <c r="X47" s="34" t="s">
        <v>889</v>
      </c>
      <c r="Y47" s="34"/>
      <c r="Z47" s="34" t="s">
        <v>890</v>
      </c>
      <c r="AA47" s="34">
        <v>16</v>
      </c>
      <c r="AB47" s="34" t="s">
        <v>588</v>
      </c>
      <c r="AC47" s="34">
        <v>11</v>
      </c>
      <c r="AD47" s="34" t="s">
        <v>891</v>
      </c>
      <c r="AE47" s="34"/>
      <c r="AF47" s="34" t="s">
        <v>590</v>
      </c>
      <c r="AG47" s="38" cm="1">
        <f t="array" ref="AG47:AO47">_xlfn.LET(_xlpm.n,COUNTIFS($B$2:$B47,$B47,$M$2:$M47,$M47),_xlpm.res,IF($M47=1,_xlfn._xlws.FILTER('TABLETAS ESTUDIANTES'!$C$2:$K$1000,'TABLETAS ESTUDIANTES'!$B$2:$B$1000=$B47),_xlfn._xlws.FILTER('PORTATIL ESTUDIANTES'!$C$2:$K$1000,'PORTATIL ESTUDIANTES'!$B$2:$B$1000=$B47)),IFERROR(INDEX(_xlpm.res,_xlpm.n,_xlfn.SEQUENCE(1,9)),""))</f>
        <v>217614000928</v>
      </c>
      <c r="AH47" s="33" t="str">
        <v>INSTITUCION EDUCATIVA LA IBERIA - SEDE PRINCIPAL</v>
      </c>
      <c r="AI47" s="33" t="str">
        <v>Riosucio</v>
      </c>
      <c r="AJ47" s="33" t="str">
        <v>ENTIDAD TERRITORIAL</v>
      </c>
      <c r="AK47" s="33" t="str">
        <v>COMITÉ DE FOCALIZACION 2026</v>
      </c>
      <c r="AL47" s="33">
        <v>45030</v>
      </c>
      <c r="AM47" s="33" t="str">
        <v>PORTÁTIL 14" HEWLETT PACKARD, PROBOOK 445 14 INCH G11 RYZEN 3 7335U - OC 148772</v>
      </c>
      <c r="AN47" s="33">
        <v>1</v>
      </c>
      <c r="AO47" s="33" t="str">
        <v>5CD53293N5</v>
      </c>
    </row>
    <row r="48" spans="1:41" ht="101.5" x14ac:dyDescent="0.35">
      <c r="A48" s="34" t="s">
        <v>573</v>
      </c>
      <c r="B48" s="34">
        <v>84728</v>
      </c>
      <c r="C48" s="34" t="s">
        <v>574</v>
      </c>
      <c r="D48" s="34" t="s">
        <v>575</v>
      </c>
      <c r="E48" s="34">
        <v>17614</v>
      </c>
      <c r="F48" s="34" t="s">
        <v>445</v>
      </c>
      <c r="G48" s="35">
        <v>117614000711</v>
      </c>
      <c r="H48" s="34" t="s">
        <v>892</v>
      </c>
      <c r="I48" s="34">
        <v>117614000711</v>
      </c>
      <c r="J48" s="34" t="s">
        <v>510</v>
      </c>
      <c r="K48" s="34" t="s">
        <v>577</v>
      </c>
      <c r="L48" s="34" t="s">
        <v>578</v>
      </c>
      <c r="M48" s="36">
        <v>1</v>
      </c>
      <c r="N48" s="34" t="s">
        <v>893</v>
      </c>
      <c r="O48" s="34">
        <v>30413244</v>
      </c>
      <c r="P48" s="34" t="s">
        <v>580</v>
      </c>
      <c r="Q48" s="34" t="s">
        <v>894</v>
      </c>
      <c r="R48" s="34">
        <v>3186274515</v>
      </c>
      <c r="S48" s="34" t="s">
        <v>741</v>
      </c>
      <c r="T48" s="34">
        <v>1059703091</v>
      </c>
      <c r="U48" s="34" t="s">
        <v>763</v>
      </c>
      <c r="V48" s="34">
        <v>0</v>
      </c>
      <c r="W48" s="34" t="s">
        <v>895</v>
      </c>
      <c r="X48" s="34" t="s">
        <v>896</v>
      </c>
      <c r="Y48" s="34"/>
      <c r="Z48" s="34" t="s">
        <v>897</v>
      </c>
      <c r="AA48" s="34">
        <v>16</v>
      </c>
      <c r="AB48" s="34" t="s">
        <v>588</v>
      </c>
      <c r="AC48" s="34">
        <v>11</v>
      </c>
      <c r="AD48" s="34" t="s">
        <v>898</v>
      </c>
      <c r="AE48" s="34"/>
      <c r="AF48" s="34" t="s">
        <v>590</v>
      </c>
      <c r="AG48" s="38" cm="1">
        <f t="array" ref="AG48:AO48">_xlfn.LET(_xlpm.n,COUNTIFS($B$2:$B48,$B48,$M$2:$M48,$M48),_xlpm.res,IF($M48=1,_xlfn._xlws.FILTER('TABLETAS ESTUDIANTES'!$C$2:$K$1000,'TABLETAS ESTUDIANTES'!$B$2:$B$1000=$B48),_xlfn._xlws.FILTER('PORTATIL ESTUDIANTES'!$C$2:$K$1000,'PORTATIL ESTUDIANTES'!$B$2:$B$1000=$B48)),IFERROR(INDEX(_xlpm.res,_xlpm.n,_xlfn.SEQUENCE(1,9)),""))</f>
        <v>117614000711</v>
      </c>
      <c r="AH48" s="33" t="str">
        <v>INSTITUCION EDUCATIVA LOS FUNDADORES - SEDE PRINCIPAL</v>
      </c>
      <c r="AI48" s="33" t="str">
        <v>Riosucio</v>
      </c>
      <c r="AJ48" s="33" t="str">
        <v>ENTIDAD TERRITORIAL</v>
      </c>
      <c r="AK48" s="33" t="str">
        <v>COMITÉ DE FOCALIZACION 2026</v>
      </c>
      <c r="AL48" s="33">
        <v>45053</v>
      </c>
      <c r="AM48" s="33" t="str">
        <v>BT TABLETA LENOVO IDEA TAB PRO  CTO 158-25</v>
      </c>
      <c r="AN48" s="33">
        <v>1</v>
      </c>
      <c r="AO48" s="33" t="str">
        <v>HA2HFAZX</v>
      </c>
    </row>
    <row r="49" spans="1:41" ht="101.5" x14ac:dyDescent="0.35">
      <c r="A49" s="34" t="s">
        <v>573</v>
      </c>
      <c r="B49" s="34">
        <v>16909</v>
      </c>
      <c r="C49" s="34" t="s">
        <v>574</v>
      </c>
      <c r="D49" s="34" t="s">
        <v>575</v>
      </c>
      <c r="E49" s="34">
        <v>17616</v>
      </c>
      <c r="F49" s="34" t="s">
        <v>513</v>
      </c>
      <c r="G49" s="35">
        <v>117616000696</v>
      </c>
      <c r="H49" s="34" t="s">
        <v>899</v>
      </c>
      <c r="I49" s="34">
        <v>117616000696</v>
      </c>
      <c r="J49" s="34" t="s">
        <v>512</v>
      </c>
      <c r="K49" s="34" t="s">
        <v>577</v>
      </c>
      <c r="L49" s="34" t="s">
        <v>578</v>
      </c>
      <c r="M49" s="36">
        <v>1</v>
      </c>
      <c r="N49" s="34" t="s">
        <v>900</v>
      </c>
      <c r="O49" s="34">
        <v>25081232</v>
      </c>
      <c r="P49" s="34" t="s">
        <v>580</v>
      </c>
      <c r="Q49" s="34" t="s">
        <v>901</v>
      </c>
      <c r="R49" s="34">
        <v>3137273939</v>
      </c>
      <c r="S49" s="34" t="s">
        <v>741</v>
      </c>
      <c r="T49" s="34">
        <v>1054399697</v>
      </c>
      <c r="U49" s="34" t="s">
        <v>902</v>
      </c>
      <c r="V49" s="34">
        <v>0</v>
      </c>
      <c r="W49" s="34" t="s">
        <v>607</v>
      </c>
      <c r="X49" s="34" t="s">
        <v>679</v>
      </c>
      <c r="Y49" s="34"/>
      <c r="Z49" s="34" t="s">
        <v>798</v>
      </c>
      <c r="AA49" s="34">
        <v>16</v>
      </c>
      <c r="AB49" s="34" t="s">
        <v>588</v>
      </c>
      <c r="AC49" s="34">
        <v>11</v>
      </c>
      <c r="AD49" s="34" t="s">
        <v>903</v>
      </c>
      <c r="AE49" s="34"/>
      <c r="AF49" s="34" t="s">
        <v>590</v>
      </c>
      <c r="AG49" s="38" cm="1">
        <f t="array" ref="AG49:AO49">_xlfn.LET(_xlpm.n,COUNTIFS($B$2:$B49,$B49,$M$2:$M49,$M49),_xlpm.res,IF($M49=1,_xlfn._xlws.FILTER('TABLETAS ESTUDIANTES'!$C$2:$K$1000,'TABLETAS ESTUDIANTES'!$B$2:$B$1000=$B49),_xlfn._xlws.FILTER('PORTATIL ESTUDIANTES'!$C$2:$K$1000,'PORTATIL ESTUDIANTES'!$B$2:$B$1000=$B49)),IFERROR(INDEX(_xlpm.res,_xlpm.n,_xlfn.SEQUENCE(1,9)),""))</f>
        <v>117616000696</v>
      </c>
      <c r="AH49" s="33" t="str">
        <v>INSTITUCION EDUCATIVA MARIA INMACULADA - SEDE PRINCIPAL</v>
      </c>
      <c r="AI49" s="33" t="str">
        <v>Risaralda</v>
      </c>
      <c r="AJ49" s="33" t="str">
        <v>ENTIDAD TERRITORIAL</v>
      </c>
      <c r="AK49" s="33" t="str">
        <v>COMITÉ DE FOCALIZACION 2026</v>
      </c>
      <c r="AL49" s="33" t="str">
        <v>HA2HGSSK</v>
      </c>
      <c r="AM49" s="33" t="str">
        <v>BT TABLETA LENOVO IDEA TAB PRO  CTO 158-25</v>
      </c>
      <c r="AN49" s="33">
        <v>1</v>
      </c>
      <c r="AO49" s="33" t="str">
        <v>HA2HES87</v>
      </c>
    </row>
    <row r="50" spans="1:41" ht="101.5" x14ac:dyDescent="0.35">
      <c r="A50" s="34" t="s">
        <v>573</v>
      </c>
      <c r="B50" s="34">
        <v>16909</v>
      </c>
      <c r="C50" s="34" t="s">
        <v>574</v>
      </c>
      <c r="D50" s="34" t="s">
        <v>575</v>
      </c>
      <c r="E50" s="34">
        <v>17616</v>
      </c>
      <c r="F50" s="34" t="s">
        <v>513</v>
      </c>
      <c r="G50" s="35">
        <v>117616000696</v>
      </c>
      <c r="H50" s="34" t="s">
        <v>899</v>
      </c>
      <c r="I50" s="34">
        <v>117616000696</v>
      </c>
      <c r="J50" s="34" t="s">
        <v>512</v>
      </c>
      <c r="K50" s="34" t="s">
        <v>577</v>
      </c>
      <c r="L50" s="34" t="s">
        <v>578</v>
      </c>
      <c r="M50" s="36">
        <v>1</v>
      </c>
      <c r="N50" s="34" t="s">
        <v>904</v>
      </c>
      <c r="O50" s="34">
        <v>1059785423</v>
      </c>
      <c r="P50" s="34" t="s">
        <v>580</v>
      </c>
      <c r="Q50" s="34" t="s">
        <v>905</v>
      </c>
      <c r="R50" s="34">
        <v>3128996740</v>
      </c>
      <c r="S50" s="34" t="s">
        <v>741</v>
      </c>
      <c r="T50" s="34">
        <v>1058079025</v>
      </c>
      <c r="U50" s="34" t="s">
        <v>583</v>
      </c>
      <c r="V50" s="34" t="s">
        <v>906</v>
      </c>
      <c r="W50" s="34" t="s">
        <v>907</v>
      </c>
      <c r="X50" s="34" t="s">
        <v>760</v>
      </c>
      <c r="Y50" s="34"/>
      <c r="Z50" s="34" t="s">
        <v>784</v>
      </c>
      <c r="AA50" s="34">
        <v>16</v>
      </c>
      <c r="AB50" s="34" t="s">
        <v>588</v>
      </c>
      <c r="AC50" s="34">
        <v>11</v>
      </c>
      <c r="AD50" s="34" t="s">
        <v>908</v>
      </c>
      <c r="AE50" s="34"/>
      <c r="AF50" s="34" t="s">
        <v>590</v>
      </c>
      <c r="AG50" s="38" cm="1">
        <f t="array" ref="AG50:AO50">_xlfn.LET(_xlpm.n,COUNTIFS($B$2:$B50,$B50,$M$2:$M50,$M50),_xlpm.res,IF($M50=1,_xlfn._xlws.FILTER('TABLETAS ESTUDIANTES'!$C$2:$K$1000,'TABLETAS ESTUDIANTES'!$B$2:$B$1000=$B50),_xlfn._xlws.FILTER('PORTATIL ESTUDIANTES'!$C$2:$K$1000,'PORTATIL ESTUDIANTES'!$B$2:$B$1000=$B50)),IFERROR(INDEX(_xlpm.res,_xlpm.n,_xlfn.SEQUENCE(1,9)),""))</f>
        <v>117616000696</v>
      </c>
      <c r="AH50" s="33" t="str">
        <v>INSTITUCION EDUCATIVA MARIA INMACULADA - SEDE PRINCIPAL</v>
      </c>
      <c r="AI50" s="33" t="str">
        <v>Risaralda</v>
      </c>
      <c r="AJ50" s="33" t="str">
        <v>ENTIDAD TERRITORIAL</v>
      </c>
      <c r="AK50" s="33" t="str">
        <v>COMITÉ DE FOCALIZACION 2026</v>
      </c>
      <c r="AL50" s="33">
        <v>45053</v>
      </c>
      <c r="AM50" s="33" t="str">
        <v>BT TABLETA LENOVO IDEA TAB PRO  CTO 158-25</v>
      </c>
      <c r="AN50" s="33">
        <v>1</v>
      </c>
      <c r="AO50" s="33" t="str">
        <v>HA2HGSSK</v>
      </c>
    </row>
    <row r="51" spans="1:41" ht="101.5" x14ac:dyDescent="0.35">
      <c r="A51" s="34" t="s">
        <v>573</v>
      </c>
      <c r="B51" s="34">
        <v>10229</v>
      </c>
      <c r="C51" s="34" t="s">
        <v>574</v>
      </c>
      <c r="D51" s="34" t="s">
        <v>575</v>
      </c>
      <c r="E51" s="34">
        <v>17653</v>
      </c>
      <c r="F51" s="34" t="s">
        <v>517</v>
      </c>
      <c r="G51" s="35">
        <v>117653000647</v>
      </c>
      <c r="H51" s="34" t="s">
        <v>909</v>
      </c>
      <c r="I51" s="34">
        <v>117653000647</v>
      </c>
      <c r="J51" s="34" t="s">
        <v>516</v>
      </c>
      <c r="K51" s="34" t="s">
        <v>577</v>
      </c>
      <c r="L51" s="34" t="s">
        <v>578</v>
      </c>
      <c r="M51" s="36">
        <v>1</v>
      </c>
      <c r="N51" s="34" t="s">
        <v>910</v>
      </c>
      <c r="O51" s="34">
        <v>25101927</v>
      </c>
      <c r="P51" s="34" t="s">
        <v>580</v>
      </c>
      <c r="Q51" s="34" t="s">
        <v>911</v>
      </c>
      <c r="R51" s="34">
        <v>3216492472</v>
      </c>
      <c r="S51" s="34" t="s">
        <v>741</v>
      </c>
      <c r="T51" s="34">
        <v>1061279101</v>
      </c>
      <c r="U51" s="34" t="s">
        <v>912</v>
      </c>
      <c r="V51" s="34">
        <v>0</v>
      </c>
      <c r="W51" s="34" t="s">
        <v>913</v>
      </c>
      <c r="X51" s="34" t="s">
        <v>680</v>
      </c>
      <c r="Y51" s="34"/>
      <c r="Z51" s="34" t="s">
        <v>914</v>
      </c>
      <c r="AA51" s="34">
        <v>17</v>
      </c>
      <c r="AB51" s="34" t="s">
        <v>598</v>
      </c>
      <c r="AC51" s="34">
        <v>11</v>
      </c>
      <c r="AD51" s="34" t="s">
        <v>915</v>
      </c>
      <c r="AE51" s="34"/>
      <c r="AF51" s="34" t="s">
        <v>590</v>
      </c>
      <c r="AG51" s="38" cm="1">
        <f t="array" ref="AG51:AO51">_xlfn.LET(_xlpm.n,COUNTIFS($B$2:$B51,$B51,$M$2:$M51,$M51),_xlpm.res,IF($M51=1,_xlfn._xlws.FILTER('TABLETAS ESTUDIANTES'!$C$2:$K$1000,'TABLETAS ESTUDIANTES'!$B$2:$B$1000=$B51),_xlfn._xlws.FILTER('PORTATIL ESTUDIANTES'!$C$2:$K$1000,'PORTATIL ESTUDIANTES'!$B$2:$B$1000=$B51)),IFERROR(INDEX(_xlpm.res,_xlpm.n,_xlfn.SEQUENCE(1,9)),""))</f>
        <v>117653000647</v>
      </c>
      <c r="AH51" s="33" t="str">
        <v>INSTITUCION EDUCATIVA DE LA PRESENTACION - SEDE PRINCIPAL</v>
      </c>
      <c r="AI51" s="33" t="str">
        <v>Salamina</v>
      </c>
      <c r="AJ51" s="33" t="str">
        <v>ENTIDAD TERRITORIAL</v>
      </c>
      <c r="AK51" s="33" t="str">
        <v>COMITÉ DE FOCALIZACION 2026</v>
      </c>
      <c r="AL51" s="33">
        <v>45053</v>
      </c>
      <c r="AM51" s="33" t="str">
        <v>BT TABLETA LENOVO IDEA TAB PRO  CTO 158-25</v>
      </c>
      <c r="AN51" s="33">
        <v>1</v>
      </c>
      <c r="AO51" s="33" t="str">
        <v>HA2HGSH6</v>
      </c>
    </row>
    <row r="52" spans="1:41" ht="101.5" x14ac:dyDescent="0.35">
      <c r="A52" s="34" t="s">
        <v>573</v>
      </c>
      <c r="B52" s="34">
        <v>10229</v>
      </c>
      <c r="C52" s="34" t="s">
        <v>574</v>
      </c>
      <c r="D52" s="34" t="s">
        <v>575</v>
      </c>
      <c r="E52" s="34">
        <v>17653</v>
      </c>
      <c r="F52" s="34" t="s">
        <v>517</v>
      </c>
      <c r="G52" s="35">
        <v>117653000647</v>
      </c>
      <c r="H52" s="34" t="s">
        <v>909</v>
      </c>
      <c r="I52" s="34">
        <v>117653000647</v>
      </c>
      <c r="J52" s="34" t="s">
        <v>516</v>
      </c>
      <c r="K52" s="34" t="s">
        <v>577</v>
      </c>
      <c r="L52" s="34" t="s">
        <v>578</v>
      </c>
      <c r="M52" s="36">
        <v>1</v>
      </c>
      <c r="N52" s="34" t="s">
        <v>916</v>
      </c>
      <c r="O52" s="34">
        <v>25099501</v>
      </c>
      <c r="P52" s="34" t="s">
        <v>580</v>
      </c>
      <c r="Q52" s="34" t="s">
        <v>917</v>
      </c>
      <c r="R52" s="34">
        <v>3116098762</v>
      </c>
      <c r="S52" s="34" t="s">
        <v>741</v>
      </c>
      <c r="T52" s="34">
        <v>1085719307</v>
      </c>
      <c r="U52" s="34" t="s">
        <v>711</v>
      </c>
      <c r="V52" s="34">
        <v>0</v>
      </c>
      <c r="W52" s="34" t="s">
        <v>812</v>
      </c>
      <c r="X52" s="34" t="s">
        <v>918</v>
      </c>
      <c r="Y52" s="34"/>
      <c r="Z52" s="34" t="s">
        <v>919</v>
      </c>
      <c r="AA52" s="34">
        <v>17</v>
      </c>
      <c r="AB52" s="34" t="s">
        <v>588</v>
      </c>
      <c r="AC52" s="34">
        <v>11</v>
      </c>
      <c r="AD52" s="34" t="s">
        <v>920</v>
      </c>
      <c r="AE52" s="34"/>
      <c r="AF52" s="34" t="s">
        <v>590</v>
      </c>
      <c r="AG52" s="38" cm="1">
        <f t="array" ref="AG52:AO52">_xlfn.LET(_xlpm.n,COUNTIFS($B$2:$B52,$B52,$M$2:$M52,$M52),_xlpm.res,IF($M52=1,_xlfn._xlws.FILTER('TABLETAS ESTUDIANTES'!$C$2:$K$1000,'TABLETAS ESTUDIANTES'!$B$2:$B$1000=$B52),_xlfn._xlws.FILTER('PORTATIL ESTUDIANTES'!$C$2:$K$1000,'PORTATIL ESTUDIANTES'!$B$2:$B$1000=$B52)),IFERROR(INDEX(_xlpm.res,_xlpm.n,_xlfn.SEQUENCE(1,9)),""))</f>
        <v>117653000647</v>
      </c>
      <c r="AH52" s="33" t="str">
        <v>INSTITUCION EDUCATIVA DE LA PRESENTACION - SEDE PRINCIPAL</v>
      </c>
      <c r="AI52" s="33" t="str">
        <v>Salamina</v>
      </c>
      <c r="AJ52" s="33" t="str">
        <v>ENTIDAD TERRITORIAL</v>
      </c>
      <c r="AK52" s="33" t="str">
        <v>COMITÉ DE FOCALIZACION 2026</v>
      </c>
      <c r="AL52" s="33">
        <v>45053</v>
      </c>
      <c r="AM52" s="33" t="str">
        <v>BT TABLETA LENOVO IDEA TAB PRO  CTO 158-25</v>
      </c>
      <c r="AN52" s="33">
        <v>1</v>
      </c>
      <c r="AO52" s="33" t="str">
        <v>HA2HFZCX</v>
      </c>
    </row>
    <row r="53" spans="1:41" ht="101.5" x14ac:dyDescent="0.35">
      <c r="A53" s="34" t="s">
        <v>573</v>
      </c>
      <c r="B53" s="34">
        <v>10229</v>
      </c>
      <c r="C53" s="34" t="s">
        <v>574</v>
      </c>
      <c r="D53" s="34" t="s">
        <v>575</v>
      </c>
      <c r="E53" s="34">
        <v>17653</v>
      </c>
      <c r="F53" s="34" t="s">
        <v>517</v>
      </c>
      <c r="G53" s="35">
        <v>117653000647</v>
      </c>
      <c r="H53" s="34" t="s">
        <v>909</v>
      </c>
      <c r="I53" s="34">
        <v>117653000647</v>
      </c>
      <c r="J53" s="34" t="s">
        <v>516</v>
      </c>
      <c r="K53" s="34" t="s">
        <v>577</v>
      </c>
      <c r="L53" s="34" t="s">
        <v>578</v>
      </c>
      <c r="M53" s="36">
        <v>1</v>
      </c>
      <c r="N53" s="34" t="s">
        <v>921</v>
      </c>
      <c r="O53" s="34">
        <v>25101895</v>
      </c>
      <c r="P53" s="34" t="s">
        <v>580</v>
      </c>
      <c r="Q53" s="34" t="s">
        <v>922</v>
      </c>
      <c r="R53" s="34">
        <v>3108219647</v>
      </c>
      <c r="S53" s="34" t="s">
        <v>741</v>
      </c>
      <c r="T53" s="34">
        <v>1059812733</v>
      </c>
      <c r="U53" s="34" t="s">
        <v>672</v>
      </c>
      <c r="V53" s="34">
        <v>0</v>
      </c>
      <c r="W53" s="34" t="s">
        <v>713</v>
      </c>
      <c r="X53" s="34" t="s">
        <v>713</v>
      </c>
      <c r="Y53" s="34"/>
      <c r="Z53" s="34" t="s">
        <v>923</v>
      </c>
      <c r="AA53" s="34">
        <v>16</v>
      </c>
      <c r="AB53" s="34" t="s">
        <v>598</v>
      </c>
      <c r="AC53" s="34">
        <v>11</v>
      </c>
      <c r="AD53" s="34" t="s">
        <v>924</v>
      </c>
      <c r="AE53" s="34"/>
      <c r="AF53" s="34" t="s">
        <v>590</v>
      </c>
      <c r="AG53" s="38" cm="1">
        <f t="array" ref="AG53:AO53">_xlfn.LET(_xlpm.n,COUNTIFS($B$2:$B53,$B53,$M$2:$M53,$M53),_xlpm.res,IF($M53=1,_xlfn._xlws.FILTER('TABLETAS ESTUDIANTES'!$C$2:$K$1000,'TABLETAS ESTUDIANTES'!$B$2:$B$1000=$B53),_xlfn._xlws.FILTER('PORTATIL ESTUDIANTES'!$C$2:$K$1000,'PORTATIL ESTUDIANTES'!$B$2:$B$1000=$B53)),IFERROR(INDEX(_xlpm.res,_xlpm.n,_xlfn.SEQUENCE(1,9)),""))</f>
        <v>117653000647</v>
      </c>
      <c r="AH53" s="33" t="str">
        <v>INSTITUCION EDUCATIVA DE LA PRESENTACION - SEDE PRINCIPAL</v>
      </c>
      <c r="AI53" s="33" t="str">
        <v>Salamina</v>
      </c>
      <c r="AJ53" s="33" t="str">
        <v>ENTIDAD TERRITORIAL</v>
      </c>
      <c r="AK53" s="33" t="str">
        <v>COMITÉ DE FOCALIZACION 2026</v>
      </c>
      <c r="AL53" s="33">
        <v>45053</v>
      </c>
      <c r="AM53" s="33" t="str">
        <v>BT TABLETA LENOVO IDEA TAB PRO  CTO 158-25</v>
      </c>
      <c r="AN53" s="33">
        <v>1</v>
      </c>
      <c r="AO53" s="33" t="str">
        <v>HA2HEL54</v>
      </c>
    </row>
    <row r="54" spans="1:41" ht="101.5" x14ac:dyDescent="0.35">
      <c r="A54" s="34" t="s">
        <v>573</v>
      </c>
      <c r="B54" s="34">
        <v>10229</v>
      </c>
      <c r="C54" s="34" t="s">
        <v>574</v>
      </c>
      <c r="D54" s="34" t="s">
        <v>575</v>
      </c>
      <c r="E54" s="34">
        <v>17653</v>
      </c>
      <c r="F54" s="34" t="s">
        <v>517</v>
      </c>
      <c r="G54" s="35">
        <v>117653000647</v>
      </c>
      <c r="H54" s="34" t="s">
        <v>909</v>
      </c>
      <c r="I54" s="34">
        <v>117653000647</v>
      </c>
      <c r="J54" s="34" t="s">
        <v>516</v>
      </c>
      <c r="K54" s="34" t="s">
        <v>577</v>
      </c>
      <c r="L54" s="34" t="s">
        <v>578</v>
      </c>
      <c r="M54" s="36">
        <v>1</v>
      </c>
      <c r="N54" s="34" t="s">
        <v>925</v>
      </c>
      <c r="O54" s="34">
        <v>25099743</v>
      </c>
      <c r="P54" s="34" t="s">
        <v>867</v>
      </c>
      <c r="Q54" s="34" t="s">
        <v>926</v>
      </c>
      <c r="R54" s="34">
        <v>3128105413</v>
      </c>
      <c r="S54" s="34" t="s">
        <v>741</v>
      </c>
      <c r="T54" s="34">
        <v>1061279489</v>
      </c>
      <c r="U54" s="34" t="s">
        <v>927</v>
      </c>
      <c r="V54" s="34" t="s">
        <v>928</v>
      </c>
      <c r="W54" s="34" t="s">
        <v>680</v>
      </c>
      <c r="X54" s="34" t="s">
        <v>680</v>
      </c>
      <c r="Y54" s="34"/>
      <c r="Z54" s="34" t="s">
        <v>929</v>
      </c>
      <c r="AA54" s="34">
        <v>15</v>
      </c>
      <c r="AB54" s="34" t="s">
        <v>588</v>
      </c>
      <c r="AC54" s="34">
        <v>11</v>
      </c>
      <c r="AD54" s="34" t="s">
        <v>930</v>
      </c>
      <c r="AE54" s="34"/>
      <c r="AF54" s="34" t="s">
        <v>590</v>
      </c>
      <c r="AG54" s="38" cm="1">
        <f t="array" ref="AG54:AO54">_xlfn.LET(_xlpm.n,COUNTIFS($B$2:$B54,$B54,$M$2:$M54,$M54),_xlpm.res,IF($M54=1,_xlfn._xlws.FILTER('TABLETAS ESTUDIANTES'!$C$2:$K$1000,'TABLETAS ESTUDIANTES'!$B$2:$B$1000=$B54),_xlfn._xlws.FILTER('PORTATIL ESTUDIANTES'!$C$2:$K$1000,'PORTATIL ESTUDIANTES'!$B$2:$B$1000=$B54)),IFERROR(INDEX(_xlpm.res,_xlpm.n,_xlfn.SEQUENCE(1,9)),""))</f>
        <v>117653000647</v>
      </c>
      <c r="AH54" s="33" t="str">
        <v>INSTITUCION EDUCATIVA DE LA PRESENTACION - SEDE PRINCIPAL</v>
      </c>
      <c r="AI54" s="33" t="str">
        <v>Salamina</v>
      </c>
      <c r="AJ54" s="33" t="str">
        <v>ENTIDAD TERRITORIAL</v>
      </c>
      <c r="AK54" s="33" t="str">
        <v>COMITÉ DE FOCALIZACION 2026</v>
      </c>
      <c r="AL54" s="33">
        <v>45053</v>
      </c>
      <c r="AM54" s="33" t="str">
        <v>BT TABLETA LENOVO IDEA TAB PRO  CTO 158-25</v>
      </c>
      <c r="AN54" s="33">
        <v>1</v>
      </c>
      <c r="AO54" s="33" t="str">
        <v>HA2HFD2A</v>
      </c>
    </row>
    <row r="55" spans="1:41" ht="101.5" x14ac:dyDescent="0.35">
      <c r="A55" s="34" t="s">
        <v>573</v>
      </c>
      <c r="B55" s="34">
        <v>10229</v>
      </c>
      <c r="C55" s="34" t="s">
        <v>574</v>
      </c>
      <c r="D55" s="34" t="s">
        <v>575</v>
      </c>
      <c r="E55" s="34">
        <v>17653</v>
      </c>
      <c r="F55" s="34" t="s">
        <v>517</v>
      </c>
      <c r="G55" s="35">
        <v>117653000647</v>
      </c>
      <c r="H55" s="34" t="s">
        <v>909</v>
      </c>
      <c r="I55" s="34">
        <v>117653000647</v>
      </c>
      <c r="J55" s="34" t="s">
        <v>516</v>
      </c>
      <c r="K55" s="34" t="s">
        <v>577</v>
      </c>
      <c r="L55" s="34" t="s">
        <v>578</v>
      </c>
      <c r="M55" s="36">
        <v>1</v>
      </c>
      <c r="N55" s="34" t="s">
        <v>931</v>
      </c>
      <c r="O55" s="34">
        <v>1059811862</v>
      </c>
      <c r="P55" s="34" t="s">
        <v>580</v>
      </c>
      <c r="Q55" s="34" t="s">
        <v>932</v>
      </c>
      <c r="R55" s="34">
        <v>3215822324</v>
      </c>
      <c r="S55" s="34" t="s">
        <v>741</v>
      </c>
      <c r="T55" s="34">
        <v>1061279193</v>
      </c>
      <c r="U55" s="34" t="s">
        <v>933</v>
      </c>
      <c r="V55" s="34">
        <v>0</v>
      </c>
      <c r="W55" s="34" t="s">
        <v>934</v>
      </c>
      <c r="X55" s="34" t="s">
        <v>935</v>
      </c>
      <c r="Y55" s="34"/>
      <c r="Z55" s="34" t="s">
        <v>936</v>
      </c>
      <c r="AA55" s="34">
        <v>16</v>
      </c>
      <c r="AB55" s="34" t="s">
        <v>588</v>
      </c>
      <c r="AC55" s="34">
        <v>11</v>
      </c>
      <c r="AD55" s="34" t="s">
        <v>937</v>
      </c>
      <c r="AE55" s="34"/>
      <c r="AF55" s="34" t="s">
        <v>590</v>
      </c>
      <c r="AG55" s="38" cm="1">
        <f t="array" ref="AG55:AO55">_xlfn.LET(_xlpm.n,COUNTIFS($B$2:$B55,$B55,$M$2:$M55,$M55),_xlpm.res,IF($M55=1,_xlfn._xlws.FILTER('TABLETAS ESTUDIANTES'!$C$2:$K$1000,'TABLETAS ESTUDIANTES'!$B$2:$B$1000=$B55),_xlfn._xlws.FILTER('PORTATIL ESTUDIANTES'!$C$2:$K$1000,'PORTATIL ESTUDIANTES'!$B$2:$B$1000=$B55)),IFERROR(INDEX(_xlpm.res,_xlpm.n,_xlfn.SEQUENCE(1,9)),""))</f>
        <v>117653000647</v>
      </c>
      <c r="AH55" s="33" t="str">
        <v>INSTITUCION EDUCATIVA DE LA PRESENTACION - SEDE PRINCIPAL</v>
      </c>
      <c r="AI55" s="33" t="str">
        <v>Salamina</v>
      </c>
      <c r="AJ55" s="33" t="str">
        <v>ENTIDAD TERRITORIAL</v>
      </c>
      <c r="AK55" s="33" t="str">
        <v>COMITÉ DE FOCALIZACION 2026</v>
      </c>
      <c r="AL55" s="33">
        <v>45053</v>
      </c>
      <c r="AM55" s="33" t="str">
        <v>BT TABLETA LENOVO IDEA TAB PRO  CTO 158-25</v>
      </c>
      <c r="AN55" s="33">
        <v>1</v>
      </c>
      <c r="AO55" s="33" t="str">
        <v>HA2HCYLP</v>
      </c>
    </row>
    <row r="56" spans="1:41" ht="101.5" x14ac:dyDescent="0.35">
      <c r="A56" s="34" t="s">
        <v>573</v>
      </c>
      <c r="B56" s="34">
        <v>10229</v>
      </c>
      <c r="C56" s="34" t="s">
        <v>574</v>
      </c>
      <c r="D56" s="34" t="s">
        <v>575</v>
      </c>
      <c r="E56" s="34">
        <v>17653</v>
      </c>
      <c r="F56" s="34" t="s">
        <v>517</v>
      </c>
      <c r="G56" s="35">
        <v>117653000647</v>
      </c>
      <c r="H56" s="34" t="s">
        <v>909</v>
      </c>
      <c r="I56" s="34">
        <v>117653000647</v>
      </c>
      <c r="J56" s="34" t="s">
        <v>516</v>
      </c>
      <c r="K56" s="34" t="s">
        <v>577</v>
      </c>
      <c r="L56" s="34" t="s">
        <v>578</v>
      </c>
      <c r="M56" s="36">
        <v>1</v>
      </c>
      <c r="N56" s="34" t="s">
        <v>938</v>
      </c>
      <c r="O56" s="34">
        <v>15962593</v>
      </c>
      <c r="P56" s="34" t="s">
        <v>649</v>
      </c>
      <c r="Q56" s="34" t="s">
        <v>939</v>
      </c>
      <c r="R56" s="34">
        <v>3214839637</v>
      </c>
      <c r="S56" s="34" t="s">
        <v>741</v>
      </c>
      <c r="T56" s="34">
        <v>1061279173</v>
      </c>
      <c r="U56" s="34" t="s">
        <v>940</v>
      </c>
      <c r="V56" s="34" t="s">
        <v>941</v>
      </c>
      <c r="W56" s="34" t="s">
        <v>804</v>
      </c>
      <c r="X56" s="34" t="s">
        <v>595</v>
      </c>
      <c r="Y56" s="34"/>
      <c r="Z56" s="34" t="s">
        <v>942</v>
      </c>
      <c r="AA56" s="34">
        <v>16</v>
      </c>
      <c r="AB56" s="34" t="s">
        <v>588</v>
      </c>
      <c r="AC56" s="34">
        <v>11</v>
      </c>
      <c r="AD56" s="34" t="s">
        <v>943</v>
      </c>
      <c r="AE56" s="34"/>
      <c r="AF56" s="34" t="s">
        <v>590</v>
      </c>
      <c r="AG56" s="38" cm="1">
        <f t="array" ref="AG56:AO56">_xlfn.LET(_xlpm.n,COUNTIFS($B$2:$B56,$B56,$M$2:$M56,$M56),_xlpm.res,IF($M56=1,_xlfn._xlws.FILTER('TABLETAS ESTUDIANTES'!$C$2:$K$1000,'TABLETAS ESTUDIANTES'!$B$2:$B$1000=$B56),_xlfn._xlws.FILTER('PORTATIL ESTUDIANTES'!$C$2:$K$1000,'PORTATIL ESTUDIANTES'!$B$2:$B$1000=$B56)),IFERROR(INDEX(_xlpm.res,_xlpm.n,_xlfn.SEQUENCE(1,9)),""))</f>
        <v>117653000647</v>
      </c>
      <c r="AH56" s="33" t="str">
        <v>INSTITUCION EDUCATIVA DE LA PRESENTACION - SEDE PRINCIPAL</v>
      </c>
      <c r="AI56" s="33" t="str">
        <v>Salamina</v>
      </c>
      <c r="AJ56" s="33" t="str">
        <v>ENTIDAD TERRITORIAL</v>
      </c>
      <c r="AK56" s="33" t="str">
        <v>COMITÉ DE FOCALIZACION 2026</v>
      </c>
      <c r="AL56" s="33">
        <v>45053</v>
      </c>
      <c r="AM56" s="33" t="str">
        <v>BT TABLETA LENOVO IDEA TAB PRO  CTO 158-25</v>
      </c>
      <c r="AN56" s="33">
        <v>1</v>
      </c>
      <c r="AO56" s="33" t="str">
        <v>HA2HFJFN</v>
      </c>
    </row>
    <row r="57" spans="1:41" ht="101.5" x14ac:dyDescent="0.35">
      <c r="A57" s="34" t="s">
        <v>573</v>
      </c>
      <c r="B57" s="34">
        <v>10229</v>
      </c>
      <c r="C57" s="34" t="s">
        <v>574</v>
      </c>
      <c r="D57" s="34" t="s">
        <v>575</v>
      </c>
      <c r="E57" s="34">
        <v>17653</v>
      </c>
      <c r="F57" s="34" t="s">
        <v>517</v>
      </c>
      <c r="G57" s="35">
        <v>117653000647</v>
      </c>
      <c r="H57" s="34" t="s">
        <v>909</v>
      </c>
      <c r="I57" s="34">
        <v>117653000647</v>
      </c>
      <c r="J57" s="34" t="s">
        <v>516</v>
      </c>
      <c r="K57" s="34" t="s">
        <v>577</v>
      </c>
      <c r="L57" s="34" t="s">
        <v>578</v>
      </c>
      <c r="M57" s="36">
        <v>1</v>
      </c>
      <c r="N57" s="34" t="s">
        <v>944</v>
      </c>
      <c r="O57" s="34">
        <v>24332948</v>
      </c>
      <c r="P57" s="34" t="s">
        <v>580</v>
      </c>
      <c r="Q57" s="34" t="s">
        <v>945</v>
      </c>
      <c r="R57" s="34">
        <v>3172459752</v>
      </c>
      <c r="S57" s="34" t="s">
        <v>741</v>
      </c>
      <c r="T57" s="34">
        <v>1013131528</v>
      </c>
      <c r="U57" s="34" t="s">
        <v>604</v>
      </c>
      <c r="V57" s="34" t="s">
        <v>946</v>
      </c>
      <c r="W57" s="34" t="s">
        <v>947</v>
      </c>
      <c r="X57" s="34" t="s">
        <v>637</v>
      </c>
      <c r="Y57" s="34"/>
      <c r="Z57" s="37">
        <v>40364</v>
      </c>
      <c r="AA57" s="34">
        <v>15</v>
      </c>
      <c r="AB57" s="34" t="s">
        <v>598</v>
      </c>
      <c r="AC57" s="34">
        <v>11</v>
      </c>
      <c r="AD57" s="34" t="s">
        <v>948</v>
      </c>
      <c r="AE57" s="34"/>
      <c r="AF57" s="34" t="s">
        <v>590</v>
      </c>
      <c r="AG57" s="38" cm="1">
        <f t="array" ref="AG57:AO57">_xlfn.LET(_xlpm.n,COUNTIFS($B$2:$B57,$B57,$M$2:$M57,$M57),_xlpm.res,IF($M57=1,_xlfn._xlws.FILTER('TABLETAS ESTUDIANTES'!$C$2:$K$1000,'TABLETAS ESTUDIANTES'!$B$2:$B$1000=$B57),_xlfn._xlws.FILTER('PORTATIL ESTUDIANTES'!$C$2:$K$1000,'PORTATIL ESTUDIANTES'!$B$2:$B$1000=$B57)),IFERROR(INDEX(_xlpm.res,_xlpm.n,_xlfn.SEQUENCE(1,9)),""))</f>
        <v>117653000647</v>
      </c>
      <c r="AH57" s="33" t="str">
        <v>INSTITUCION EDUCATIVA DE LA PRESENTACION - SEDE PRINCIPAL</v>
      </c>
      <c r="AI57" s="33" t="str">
        <v>Salamina</v>
      </c>
      <c r="AJ57" s="33" t="str">
        <v>ENTIDAD TERRITORIAL</v>
      </c>
      <c r="AK57" s="33" t="str">
        <v>COMITÉ DE FOCALIZACION 2026</v>
      </c>
      <c r="AL57" s="33">
        <v>45053</v>
      </c>
      <c r="AM57" s="33" t="str">
        <v>BT TABLETA LENOVO IDEA TAB PRO  CTO 158-25</v>
      </c>
      <c r="AN57" s="33">
        <v>1</v>
      </c>
      <c r="AO57" s="33" t="str">
        <v>HA2HGRGK</v>
      </c>
    </row>
    <row r="58" spans="1:41" ht="101.5" x14ac:dyDescent="0.35">
      <c r="A58" s="34" t="s">
        <v>573</v>
      </c>
      <c r="B58" s="34">
        <v>10229</v>
      </c>
      <c r="C58" s="34" t="s">
        <v>574</v>
      </c>
      <c r="D58" s="34" t="s">
        <v>575</v>
      </c>
      <c r="E58" s="34">
        <v>17653</v>
      </c>
      <c r="F58" s="34" t="s">
        <v>517</v>
      </c>
      <c r="G58" s="35">
        <v>117653000647</v>
      </c>
      <c r="H58" s="34" t="s">
        <v>909</v>
      </c>
      <c r="I58" s="34">
        <v>117653000647</v>
      </c>
      <c r="J58" s="34" t="s">
        <v>516</v>
      </c>
      <c r="K58" s="34" t="s">
        <v>577</v>
      </c>
      <c r="L58" s="34" t="s">
        <v>578</v>
      </c>
      <c r="M58" s="36">
        <v>1</v>
      </c>
      <c r="N58" s="34" t="s">
        <v>949</v>
      </c>
      <c r="O58" s="34">
        <v>1059813797</v>
      </c>
      <c r="P58" s="34" t="s">
        <v>580</v>
      </c>
      <c r="Q58" s="34" t="s">
        <v>950</v>
      </c>
      <c r="R58" s="34">
        <v>3128276058</v>
      </c>
      <c r="S58" s="34" t="s">
        <v>741</v>
      </c>
      <c r="T58" s="34">
        <v>1061279443</v>
      </c>
      <c r="U58" s="34" t="s">
        <v>604</v>
      </c>
      <c r="V58" s="34" t="s">
        <v>672</v>
      </c>
      <c r="W58" s="34" t="s">
        <v>698</v>
      </c>
      <c r="X58" s="34" t="s">
        <v>585</v>
      </c>
      <c r="Y58" s="34"/>
      <c r="Z58" s="34" t="s">
        <v>951</v>
      </c>
      <c r="AA58" s="34">
        <v>15</v>
      </c>
      <c r="AB58" s="34" t="s">
        <v>598</v>
      </c>
      <c r="AC58" s="34">
        <v>11</v>
      </c>
      <c r="AD58" s="34" t="s">
        <v>952</v>
      </c>
      <c r="AE58" s="34"/>
      <c r="AF58" s="34" t="s">
        <v>590</v>
      </c>
      <c r="AG58" s="38" cm="1">
        <f t="array" ref="AG58:AO58">_xlfn.LET(_xlpm.n,COUNTIFS($B$2:$B58,$B58,$M$2:$M58,$M58),_xlpm.res,IF($M58=1,_xlfn._xlws.FILTER('TABLETAS ESTUDIANTES'!$C$2:$K$1000,'TABLETAS ESTUDIANTES'!$B$2:$B$1000=$B58),_xlfn._xlws.FILTER('PORTATIL ESTUDIANTES'!$C$2:$K$1000,'PORTATIL ESTUDIANTES'!$B$2:$B$1000=$B58)),IFERROR(INDEX(_xlpm.res,_xlpm.n,_xlfn.SEQUENCE(1,9)),""))</f>
        <v>117653000647</v>
      </c>
      <c r="AH58" s="33" t="str">
        <v>INSTITUCION EDUCATIVA DE LA PRESENTACION - SEDE PRINCIPAL</v>
      </c>
      <c r="AI58" s="33" t="str">
        <v>Salamina</v>
      </c>
      <c r="AJ58" s="33" t="str">
        <v>ENTIDAD TERRITORIAL</v>
      </c>
      <c r="AK58" s="33" t="str">
        <v>COMITÉ DE FOCALIZACION 2026</v>
      </c>
      <c r="AL58" s="33">
        <v>45053</v>
      </c>
      <c r="AM58" s="33" t="str">
        <v>BT TABLETA LENOVO IDEA TAB PRO  CTO 158-25</v>
      </c>
      <c r="AN58" s="33">
        <v>1</v>
      </c>
      <c r="AO58" s="33" t="str">
        <v>HA2HEN15</v>
      </c>
    </row>
    <row r="59" spans="1:41" ht="101.5" x14ac:dyDescent="0.35">
      <c r="A59" s="34" t="s">
        <v>573</v>
      </c>
      <c r="B59" s="34">
        <v>10229</v>
      </c>
      <c r="C59" s="34" t="s">
        <v>574</v>
      </c>
      <c r="D59" s="34" t="s">
        <v>575</v>
      </c>
      <c r="E59" s="34">
        <v>17653</v>
      </c>
      <c r="F59" s="34" t="s">
        <v>517</v>
      </c>
      <c r="G59" s="35">
        <v>117653000647</v>
      </c>
      <c r="H59" s="34" t="s">
        <v>909</v>
      </c>
      <c r="I59" s="34">
        <v>117653000647</v>
      </c>
      <c r="J59" s="34" t="s">
        <v>516</v>
      </c>
      <c r="K59" s="34" t="s">
        <v>577</v>
      </c>
      <c r="L59" s="34" t="s">
        <v>578</v>
      </c>
      <c r="M59" s="36">
        <v>1</v>
      </c>
      <c r="N59" s="34" t="s">
        <v>953</v>
      </c>
      <c r="O59" s="34">
        <v>30235905</v>
      </c>
      <c r="P59" s="34" t="s">
        <v>580</v>
      </c>
      <c r="Q59" s="34" t="s">
        <v>954</v>
      </c>
      <c r="R59" s="34">
        <v>3136462555</v>
      </c>
      <c r="S59" s="34" t="s">
        <v>741</v>
      </c>
      <c r="T59" s="34">
        <v>1061279413</v>
      </c>
      <c r="U59" s="34" t="s">
        <v>955</v>
      </c>
      <c r="V59" s="34">
        <v>0</v>
      </c>
      <c r="W59" s="34" t="s">
        <v>720</v>
      </c>
      <c r="X59" s="34" t="s">
        <v>918</v>
      </c>
      <c r="Y59" s="34"/>
      <c r="Z59" s="37">
        <v>40518</v>
      </c>
      <c r="AA59" s="34">
        <v>15</v>
      </c>
      <c r="AB59" s="34" t="s">
        <v>588</v>
      </c>
      <c r="AC59" s="34">
        <v>11</v>
      </c>
      <c r="AD59" s="34" t="s">
        <v>956</v>
      </c>
      <c r="AE59" s="34"/>
      <c r="AF59" s="34" t="s">
        <v>590</v>
      </c>
      <c r="AG59" s="38" cm="1">
        <f t="array" ref="AG59:AO59">_xlfn.LET(_xlpm.n,COUNTIFS($B$2:$B59,$B59,$M$2:$M59,$M59),_xlpm.res,IF($M59=1,_xlfn._xlws.FILTER('TABLETAS ESTUDIANTES'!$C$2:$K$1000,'TABLETAS ESTUDIANTES'!$B$2:$B$1000=$B59),_xlfn._xlws.FILTER('PORTATIL ESTUDIANTES'!$C$2:$K$1000,'PORTATIL ESTUDIANTES'!$B$2:$B$1000=$B59)),IFERROR(INDEX(_xlpm.res,_xlpm.n,_xlfn.SEQUENCE(1,9)),""))</f>
        <v>117653000647</v>
      </c>
      <c r="AH59" s="33" t="str">
        <v>INSTITUCION EDUCATIVA DE LA PRESENTACION - SEDE PRINCIPAL</v>
      </c>
      <c r="AI59" s="33" t="str">
        <v>Salamina</v>
      </c>
      <c r="AJ59" s="33" t="str">
        <v>ENTIDAD TERRITORIAL</v>
      </c>
      <c r="AK59" s="33" t="str">
        <v>COMITÉ DE FOCALIZACION 2026</v>
      </c>
      <c r="AL59" s="33">
        <v>45053</v>
      </c>
      <c r="AM59" s="33" t="str">
        <v>BT TABLETA LENOVO IDEA TAB PRO  CTO 158-25</v>
      </c>
      <c r="AN59" s="33">
        <v>1</v>
      </c>
      <c r="AO59" s="33" t="str">
        <v>HA2HG1J2</v>
      </c>
    </row>
    <row r="60" spans="1:41" ht="101.5" x14ac:dyDescent="0.35">
      <c r="A60" s="34" t="s">
        <v>573</v>
      </c>
      <c r="B60" s="34">
        <v>10229</v>
      </c>
      <c r="C60" s="34" t="s">
        <v>574</v>
      </c>
      <c r="D60" s="34" t="s">
        <v>575</v>
      </c>
      <c r="E60" s="34">
        <v>17653</v>
      </c>
      <c r="F60" s="34" t="s">
        <v>517</v>
      </c>
      <c r="G60" s="35">
        <v>117653000647</v>
      </c>
      <c r="H60" s="34" t="s">
        <v>909</v>
      </c>
      <c r="I60" s="34">
        <v>117653000647</v>
      </c>
      <c r="J60" s="34" t="s">
        <v>516</v>
      </c>
      <c r="K60" s="34" t="s">
        <v>577</v>
      </c>
      <c r="L60" s="34" t="s">
        <v>578</v>
      </c>
      <c r="M60" s="36">
        <v>1</v>
      </c>
      <c r="N60" s="34" t="s">
        <v>957</v>
      </c>
      <c r="O60" s="34">
        <v>15961953</v>
      </c>
      <c r="P60" s="34" t="s">
        <v>649</v>
      </c>
      <c r="Q60" s="34" t="s">
        <v>958</v>
      </c>
      <c r="R60" s="34">
        <v>3113189311</v>
      </c>
      <c r="S60" s="34" t="s">
        <v>741</v>
      </c>
      <c r="T60" s="34">
        <v>1059812743</v>
      </c>
      <c r="U60" s="34" t="s">
        <v>872</v>
      </c>
      <c r="V60" s="34" t="s">
        <v>711</v>
      </c>
      <c r="W60" s="34" t="s">
        <v>832</v>
      </c>
      <c r="X60" s="34" t="s">
        <v>959</v>
      </c>
      <c r="Y60" s="34"/>
      <c r="Z60" s="34" t="s">
        <v>960</v>
      </c>
      <c r="AA60" s="34">
        <v>16</v>
      </c>
      <c r="AB60" s="34" t="s">
        <v>588</v>
      </c>
      <c r="AC60" s="34">
        <v>11</v>
      </c>
      <c r="AD60" s="34" t="s">
        <v>961</v>
      </c>
      <c r="AE60" s="34"/>
      <c r="AF60" s="34" t="s">
        <v>590</v>
      </c>
      <c r="AG60" s="38" cm="1">
        <f t="array" ref="AG60:AO60">_xlfn.LET(_xlpm.n,COUNTIFS($B$2:$B60,$B60,$M$2:$M60,$M60),_xlpm.res,IF($M60=1,_xlfn._xlws.FILTER('TABLETAS ESTUDIANTES'!$C$2:$K$1000,'TABLETAS ESTUDIANTES'!$B$2:$B$1000=$B60),_xlfn._xlws.FILTER('PORTATIL ESTUDIANTES'!$C$2:$K$1000,'PORTATIL ESTUDIANTES'!$B$2:$B$1000=$B60)),IFERROR(INDEX(_xlpm.res,_xlpm.n,_xlfn.SEQUENCE(1,9)),""))</f>
        <v>117653000647</v>
      </c>
      <c r="AH60" s="33" t="str">
        <v>INSTITUCION EDUCATIVA DE LA PRESENTACION - SEDE PRINCIPAL</v>
      </c>
      <c r="AI60" s="33" t="str">
        <v>Salamina</v>
      </c>
      <c r="AJ60" s="33" t="str">
        <v>ENTIDAD TERRITORIAL</v>
      </c>
      <c r="AK60" s="33" t="str">
        <v>COMITÉ DE FOCALIZACION 2026</v>
      </c>
      <c r="AL60" s="33">
        <v>45053</v>
      </c>
      <c r="AM60" s="33" t="str">
        <v>BT TABLETA LENOVO IDEA TAB PRO  CTO 158-25</v>
      </c>
      <c r="AN60" s="33">
        <v>1</v>
      </c>
      <c r="AO60" s="33" t="str">
        <v>HA2HFZ8J</v>
      </c>
    </row>
    <row r="61" spans="1:41" ht="43.5" x14ac:dyDescent="0.35">
      <c r="A61" s="34" t="s">
        <v>573</v>
      </c>
      <c r="B61" s="34">
        <v>33369</v>
      </c>
      <c r="C61" s="34" t="s">
        <v>574</v>
      </c>
      <c r="D61" s="34" t="s">
        <v>575</v>
      </c>
      <c r="E61" s="34">
        <v>17662</v>
      </c>
      <c r="F61" s="34" t="s">
        <v>458</v>
      </c>
      <c r="G61" s="35">
        <v>217662000093</v>
      </c>
      <c r="H61" s="34" t="s">
        <v>962</v>
      </c>
      <c r="I61" s="34">
        <v>217662000085</v>
      </c>
      <c r="J61" s="34" t="s">
        <v>457</v>
      </c>
      <c r="K61" s="34" t="s">
        <v>725</v>
      </c>
      <c r="L61" s="34">
        <v>1</v>
      </c>
      <c r="M61" s="36" t="s">
        <v>726</v>
      </c>
      <c r="N61" s="34" t="s">
        <v>963</v>
      </c>
      <c r="O61" s="34">
        <v>1024479036</v>
      </c>
      <c r="P61" s="34" t="s">
        <v>580</v>
      </c>
      <c r="Q61" s="34" t="s">
        <v>964</v>
      </c>
      <c r="R61" s="34">
        <v>3117603298</v>
      </c>
      <c r="S61" s="34" t="s">
        <v>741</v>
      </c>
      <c r="T61" s="34">
        <v>1024521745</v>
      </c>
      <c r="U61" s="34" t="s">
        <v>872</v>
      </c>
      <c r="V61" s="34" t="s">
        <v>711</v>
      </c>
      <c r="W61" s="34" t="s">
        <v>965</v>
      </c>
      <c r="X61" s="34" t="s">
        <v>965</v>
      </c>
      <c r="Y61" s="34"/>
      <c r="Z61" s="34" t="s">
        <v>966</v>
      </c>
      <c r="AA61" s="34">
        <v>16</v>
      </c>
      <c r="AB61" s="34" t="s">
        <v>588</v>
      </c>
      <c r="AC61" s="34">
        <v>11</v>
      </c>
      <c r="AD61" s="34" t="s">
        <v>967</v>
      </c>
      <c r="AE61" s="34"/>
      <c r="AF61" s="34" t="s">
        <v>590</v>
      </c>
      <c r="AG61" s="38" cm="1">
        <f t="array" ref="AG61:AO61">_xlfn.LET(_xlpm.n,COUNTIFS($B$2:$B61,$B61,$M$2:$M61,$M61),_xlpm.res,IF($M61=1,_xlfn._xlws.FILTER('TABLETAS ESTUDIANTES'!$C$2:$K$1000,'TABLETAS ESTUDIANTES'!$B$2:$B$1000=$B61),_xlfn._xlws.FILTER('PORTATIL ESTUDIANTES'!$C$2:$K$1000,'PORTATIL ESTUDIANTES'!$B$2:$B$1000=$B61)),IFERROR(INDEX(_xlpm.res,_xlpm.n,_xlfn.SEQUENCE(1,9)),""))</f>
        <v>217662000085</v>
      </c>
      <c r="AH61" s="33" t="str">
        <v>ESCUELA NUEVA EL CONSUELO</v>
      </c>
      <c r="AI61" s="33" t="str">
        <v>Samaná</v>
      </c>
      <c r="AJ61" s="33" t="str">
        <v>ENTIDAD TERRITORIAL</v>
      </c>
      <c r="AK61" s="33" t="str">
        <v>COMITÉ DE FOCALIZACION 2026</v>
      </c>
      <c r="AL61" s="33">
        <v>45030</v>
      </c>
      <c r="AM61" s="33" t="str">
        <v>PORTÁTIL 14" HEWLETT PACKARD, PROBOOK 445 14 INCH G11 RYZEN 3 7335U - OC 148772</v>
      </c>
      <c r="AN61" s="33">
        <v>1</v>
      </c>
      <c r="AO61" s="33" t="str">
        <v>5CD53276W1</v>
      </c>
    </row>
    <row r="62" spans="1:41" ht="87" x14ac:dyDescent="0.35">
      <c r="A62" s="34" t="s">
        <v>573</v>
      </c>
      <c r="B62" s="34">
        <v>19768</v>
      </c>
      <c r="C62" s="34" t="s">
        <v>574</v>
      </c>
      <c r="D62" s="34" t="s">
        <v>575</v>
      </c>
      <c r="E62" s="34">
        <v>17662</v>
      </c>
      <c r="F62" s="34" t="s">
        <v>458</v>
      </c>
      <c r="G62" s="35">
        <v>217662000093</v>
      </c>
      <c r="H62" s="34" t="s">
        <v>962</v>
      </c>
      <c r="I62" s="34">
        <v>217662000093</v>
      </c>
      <c r="J62" s="34" t="s">
        <v>460</v>
      </c>
      <c r="K62" s="34" t="s">
        <v>725</v>
      </c>
      <c r="L62" s="34">
        <v>1</v>
      </c>
      <c r="M62" s="36" t="s">
        <v>726</v>
      </c>
      <c r="N62" s="34" t="s">
        <v>968</v>
      </c>
      <c r="O62" s="34">
        <v>1058843573</v>
      </c>
      <c r="P62" s="34" t="s">
        <v>580</v>
      </c>
      <c r="Q62" s="34" t="s">
        <v>969</v>
      </c>
      <c r="R62" s="34">
        <v>3123864144</v>
      </c>
      <c r="S62" s="34" t="s">
        <v>741</v>
      </c>
      <c r="T62" s="34">
        <v>1060040537</v>
      </c>
      <c r="U62" s="34" t="s">
        <v>970</v>
      </c>
      <c r="V62" s="34" t="s">
        <v>971</v>
      </c>
      <c r="W62" s="34" t="s">
        <v>771</v>
      </c>
      <c r="X62" s="34" t="s">
        <v>698</v>
      </c>
      <c r="Y62" s="34"/>
      <c r="Z62" s="37">
        <v>39550</v>
      </c>
      <c r="AA62" s="34">
        <v>17</v>
      </c>
      <c r="AB62" s="34" t="s">
        <v>588</v>
      </c>
      <c r="AC62" s="34">
        <v>11</v>
      </c>
      <c r="AD62" s="34" t="s">
        <v>972</v>
      </c>
      <c r="AE62" s="34"/>
      <c r="AF62" s="34" t="s">
        <v>590</v>
      </c>
      <c r="AG62" s="38" cm="1">
        <f t="array" ref="AG62:AO62">_xlfn.LET(_xlpm.n,COUNTIFS($B$2:$B62,$B62,$M$2:$M62,$M62),_xlpm.res,IF($M62=1,_xlfn._xlws.FILTER('TABLETAS ESTUDIANTES'!$C$2:$K$1000,'TABLETAS ESTUDIANTES'!$B$2:$B$1000=$B62),_xlfn._xlws.FILTER('PORTATIL ESTUDIANTES'!$C$2:$K$1000,'PORTATIL ESTUDIANTES'!$B$2:$B$1000=$B62)),IFERROR(INDEX(_xlpm.res,_xlpm.n,_xlfn.SEQUENCE(1,9)),""))</f>
        <v>217662000093</v>
      </c>
      <c r="AH62" s="33" t="str">
        <v>INSTITUCION EDUCATIVA ENCIMADAS - SEDE PRINCIPAL</v>
      </c>
      <c r="AI62" s="33" t="str">
        <v>Samaná</v>
      </c>
      <c r="AJ62" s="33" t="str">
        <v>ENTIDAD TERRITORIAL</v>
      </c>
      <c r="AK62" s="33" t="str">
        <v>COMITÉ DE FOCALIZACION 2026</v>
      </c>
      <c r="AL62" s="33">
        <v>45030</v>
      </c>
      <c r="AM62" s="33" t="str">
        <v>PORTÁTIL 14" HEWLETT PACKARD, PROBOOK 445 14 INCH G11 RYZEN 3 7335U - OC 148772</v>
      </c>
      <c r="AN62" s="33">
        <v>1</v>
      </c>
      <c r="AO62" s="33" t="str">
        <v>5CD53276YC</v>
      </c>
    </row>
    <row r="63" spans="1:41" ht="101.5" x14ac:dyDescent="0.35">
      <c r="A63" s="34" t="s">
        <v>573</v>
      </c>
      <c r="B63" s="34">
        <v>33370</v>
      </c>
      <c r="C63" s="34" t="s">
        <v>574</v>
      </c>
      <c r="D63" s="34" t="s">
        <v>575</v>
      </c>
      <c r="E63" s="34">
        <v>17662</v>
      </c>
      <c r="F63" s="34" t="s">
        <v>458</v>
      </c>
      <c r="G63" s="35">
        <v>217662000964</v>
      </c>
      <c r="H63" s="34" t="s">
        <v>973</v>
      </c>
      <c r="I63" s="34">
        <v>217662000964</v>
      </c>
      <c r="J63" s="34" t="s">
        <v>462</v>
      </c>
      <c r="K63" s="34" t="s">
        <v>725</v>
      </c>
      <c r="L63" s="34">
        <v>1</v>
      </c>
      <c r="M63" s="36" t="s">
        <v>726</v>
      </c>
      <c r="N63" s="34" t="s">
        <v>974</v>
      </c>
      <c r="O63" s="34">
        <v>25141411</v>
      </c>
      <c r="P63" s="34" t="s">
        <v>580</v>
      </c>
      <c r="Q63" s="34" t="s">
        <v>975</v>
      </c>
      <c r="R63" s="34">
        <v>3106572579</v>
      </c>
      <c r="S63" s="34" t="s">
        <v>741</v>
      </c>
      <c r="T63" s="34">
        <v>1058526576</v>
      </c>
      <c r="U63" s="34" t="s">
        <v>976</v>
      </c>
      <c r="V63" s="34" t="s">
        <v>977</v>
      </c>
      <c r="W63" s="34" t="s">
        <v>978</v>
      </c>
      <c r="X63" s="34" t="s">
        <v>979</v>
      </c>
      <c r="Y63" s="34"/>
      <c r="Z63" s="34" t="s">
        <v>980</v>
      </c>
      <c r="AA63" s="34">
        <v>16</v>
      </c>
      <c r="AB63" s="34" t="s">
        <v>588</v>
      </c>
      <c r="AC63" s="34">
        <v>11</v>
      </c>
      <c r="AD63" s="34" t="s">
        <v>981</v>
      </c>
      <c r="AE63" s="34"/>
      <c r="AF63" s="34" t="s">
        <v>590</v>
      </c>
      <c r="AG63" s="38" cm="1">
        <f t="array" ref="AG63:AO63">_xlfn.LET(_xlpm.n,COUNTIFS($B$2:$B63,$B63,$M$2:$M63,$M63),_xlpm.res,IF($M63=1,_xlfn._xlws.FILTER('TABLETAS ESTUDIANTES'!$C$2:$K$1000,'TABLETAS ESTUDIANTES'!$B$2:$B$1000=$B63),_xlfn._xlws.FILTER('PORTATIL ESTUDIANTES'!$C$2:$K$1000,'PORTATIL ESTUDIANTES'!$B$2:$B$1000=$B63)),IFERROR(INDEX(_xlpm.res,_xlpm.n,_xlfn.SEQUENCE(1,9)),""))</f>
        <v>217662000964</v>
      </c>
      <c r="AH63" s="33" t="str">
        <v>INSTITUCION EDUCATIVA FELIX NARANJO - SEDE PRINCIPAL</v>
      </c>
      <c r="AI63" s="33" t="str">
        <v>Samaná</v>
      </c>
      <c r="AJ63" s="33" t="str">
        <v>ENTIDAD TERRITORIAL</v>
      </c>
      <c r="AK63" s="33" t="str">
        <v>COMITÉ DE FOCALIZACION 2026</v>
      </c>
      <c r="AL63" s="33">
        <v>45030</v>
      </c>
      <c r="AM63" s="33" t="str">
        <v>PORTÁTIL 14" HEWLETT PACKARD, PROBOOK 445 14 INCH G11 RYZEN 3 7335U - OC 148772</v>
      </c>
      <c r="AN63" s="33">
        <v>1</v>
      </c>
      <c r="AO63" s="33" t="str">
        <v>5CD53293V3</v>
      </c>
    </row>
    <row r="64" spans="1:41" ht="101.5" x14ac:dyDescent="0.35">
      <c r="A64" s="34" t="s">
        <v>573</v>
      </c>
      <c r="B64" s="34">
        <v>33370</v>
      </c>
      <c r="C64" s="34" t="s">
        <v>574</v>
      </c>
      <c r="D64" s="34" t="s">
        <v>575</v>
      </c>
      <c r="E64" s="34">
        <v>17662</v>
      </c>
      <c r="F64" s="34" t="s">
        <v>458</v>
      </c>
      <c r="G64" s="35">
        <v>217662000964</v>
      </c>
      <c r="H64" s="34" t="s">
        <v>973</v>
      </c>
      <c r="I64" s="34">
        <v>217662000964</v>
      </c>
      <c r="J64" s="34" t="s">
        <v>462</v>
      </c>
      <c r="K64" s="34" t="s">
        <v>725</v>
      </c>
      <c r="L64" s="34" t="s">
        <v>578</v>
      </c>
      <c r="M64" s="36">
        <v>1</v>
      </c>
      <c r="N64" s="34" t="s">
        <v>982</v>
      </c>
      <c r="O64" s="34">
        <v>24713770</v>
      </c>
      <c r="P64" s="34" t="s">
        <v>580</v>
      </c>
      <c r="Q64" s="34" t="s">
        <v>983</v>
      </c>
      <c r="R64" s="34">
        <v>3234649672</v>
      </c>
      <c r="S64" s="34" t="s">
        <v>741</v>
      </c>
      <c r="T64" s="34">
        <v>1058526615</v>
      </c>
      <c r="U64" s="34" t="s">
        <v>984</v>
      </c>
      <c r="V64" s="34">
        <v>0</v>
      </c>
      <c r="W64" s="34" t="s">
        <v>918</v>
      </c>
      <c r="X64" s="34" t="s">
        <v>985</v>
      </c>
      <c r="Y64" s="34"/>
      <c r="Z64" s="37">
        <v>40179</v>
      </c>
      <c r="AA64" s="34">
        <v>16</v>
      </c>
      <c r="AB64" s="34" t="s">
        <v>598</v>
      </c>
      <c r="AC64" s="34">
        <v>11</v>
      </c>
      <c r="AD64" s="34" t="s">
        <v>986</v>
      </c>
      <c r="AE64" s="34"/>
      <c r="AF64" s="34" t="s">
        <v>590</v>
      </c>
      <c r="AG64" s="38" cm="1">
        <f t="array" ref="AG64:AO64">_xlfn.LET(_xlpm.n,COUNTIFS($B$2:$B64,$B64,$M$2:$M64,$M64),_xlpm.res,IF($M64=1,_xlfn._xlws.FILTER('TABLETAS ESTUDIANTES'!$C$2:$K$1000,'TABLETAS ESTUDIANTES'!$B$2:$B$1000=$B64),_xlfn._xlws.FILTER('PORTATIL ESTUDIANTES'!$C$2:$K$1000,'PORTATIL ESTUDIANTES'!$B$2:$B$1000=$B64)),IFERROR(INDEX(_xlpm.res,_xlpm.n,_xlfn.SEQUENCE(1,9)),""))</f>
        <v>217662000964</v>
      </c>
      <c r="AH64" s="33" t="str">
        <v>INSTITUCION EDUCATIVA FELIX NARANJO - SEDE PRINCIPAL</v>
      </c>
      <c r="AI64" s="33" t="str">
        <v>Samaná</v>
      </c>
      <c r="AJ64" s="33" t="str">
        <v>ENTIDAD TERRITORIAL</v>
      </c>
      <c r="AK64" s="33" t="str">
        <v>COMITÉ DE FOCALIZACION 2026</v>
      </c>
      <c r="AL64" s="33">
        <v>45053</v>
      </c>
      <c r="AM64" s="33" t="str">
        <v>BT TABLETA LENOVO IDEA TAB PRO  CTO 158-25</v>
      </c>
      <c r="AN64" s="33">
        <v>1</v>
      </c>
      <c r="AO64" s="33" t="str">
        <v>HA2HFE6Y</v>
      </c>
    </row>
    <row r="65" spans="1:41" ht="101.5" x14ac:dyDescent="0.35">
      <c r="A65" s="34" t="s">
        <v>573</v>
      </c>
      <c r="B65" s="34">
        <v>94788</v>
      </c>
      <c r="C65" s="34" t="s">
        <v>574</v>
      </c>
      <c r="D65" s="34" t="s">
        <v>575</v>
      </c>
      <c r="E65" s="34">
        <v>17662</v>
      </c>
      <c r="F65" s="34" t="s">
        <v>458</v>
      </c>
      <c r="G65" s="35">
        <v>117662002792</v>
      </c>
      <c r="H65" s="34" t="s">
        <v>987</v>
      </c>
      <c r="I65" s="34">
        <v>117662002792</v>
      </c>
      <c r="J65" s="34" t="s">
        <v>528</v>
      </c>
      <c r="K65" s="34" t="s">
        <v>577</v>
      </c>
      <c r="L65" s="34" t="s">
        <v>578</v>
      </c>
      <c r="M65" s="36">
        <v>1</v>
      </c>
      <c r="N65" s="34" t="s">
        <v>988</v>
      </c>
      <c r="O65" s="34">
        <v>1143952753</v>
      </c>
      <c r="P65" s="34" t="s">
        <v>580</v>
      </c>
      <c r="Q65" s="34" t="s">
        <v>989</v>
      </c>
      <c r="R65" s="34">
        <v>3207087943</v>
      </c>
      <c r="S65" s="34" t="s">
        <v>741</v>
      </c>
      <c r="T65" s="34">
        <v>1111678405</v>
      </c>
      <c r="U65" s="34" t="s">
        <v>776</v>
      </c>
      <c r="V65" s="34">
        <v>0</v>
      </c>
      <c r="W65" s="34" t="s">
        <v>990</v>
      </c>
      <c r="X65" s="34" t="s">
        <v>679</v>
      </c>
      <c r="Y65" s="34"/>
      <c r="Z65" s="37">
        <v>40034</v>
      </c>
      <c r="AA65" s="34">
        <v>16</v>
      </c>
      <c r="AB65" s="34" t="s">
        <v>598</v>
      </c>
      <c r="AC65" s="34">
        <v>11</v>
      </c>
      <c r="AD65" s="34" t="s">
        <v>991</v>
      </c>
      <c r="AE65" s="34"/>
      <c r="AF65" s="34" t="s">
        <v>590</v>
      </c>
      <c r="AG65" s="38" cm="1">
        <f t="array" ref="AG65:AO65">_xlfn.LET(_xlpm.n,COUNTIFS($B$2:$B65,$B65,$M$2:$M65,$M65),_xlpm.res,IF($M65=1,_xlfn._xlws.FILTER('TABLETAS ESTUDIANTES'!$C$2:$K$1000,'TABLETAS ESTUDIANTES'!$B$2:$B$1000=$B65),_xlfn._xlws.FILTER('PORTATIL ESTUDIANTES'!$C$2:$K$1000,'PORTATIL ESTUDIANTES'!$B$2:$B$1000=$B65)),IFERROR(INDEX(_xlpm.res,_xlpm.n,_xlfn.SEQUENCE(1,9)),""))</f>
        <v>117662002792</v>
      </c>
      <c r="AH65" s="33" t="str">
        <v>INSTITUCION EDUCATIVA SAN AGUSTIN - SEDE PRINCIPAL</v>
      </c>
      <c r="AI65" s="33" t="str">
        <v>Samaná</v>
      </c>
      <c r="AJ65" s="33" t="str">
        <v>ENTIDAD TERRITORIAL</v>
      </c>
      <c r="AK65" s="33" t="str">
        <v>COMITÉ DE FOCALIZACION 2026</v>
      </c>
      <c r="AL65" s="33">
        <v>45053</v>
      </c>
      <c r="AM65" s="33" t="str">
        <v>BT TABLETA LENOVO IDEA TAB PRO  CTO 158-25</v>
      </c>
      <c r="AN65" s="33">
        <v>1</v>
      </c>
      <c r="AO65" s="33" t="str">
        <v>HA2HDMYZ</v>
      </c>
    </row>
    <row r="66" spans="1:41" ht="101.5" x14ac:dyDescent="0.35">
      <c r="A66" s="34" t="s">
        <v>573</v>
      </c>
      <c r="B66" s="34">
        <v>94788</v>
      </c>
      <c r="C66" s="34" t="s">
        <v>574</v>
      </c>
      <c r="D66" s="34" t="s">
        <v>575</v>
      </c>
      <c r="E66" s="34">
        <v>17662</v>
      </c>
      <c r="F66" s="34" t="s">
        <v>458</v>
      </c>
      <c r="G66" s="35">
        <v>117662002792</v>
      </c>
      <c r="H66" s="34" t="s">
        <v>987</v>
      </c>
      <c r="I66" s="34">
        <v>117662002792</v>
      </c>
      <c r="J66" s="34" t="s">
        <v>528</v>
      </c>
      <c r="K66" s="34" t="s">
        <v>577</v>
      </c>
      <c r="L66" s="34" t="s">
        <v>578</v>
      </c>
      <c r="M66" s="36">
        <v>1</v>
      </c>
      <c r="N66" s="34" t="s">
        <v>992</v>
      </c>
      <c r="O66" s="34">
        <v>1010191300</v>
      </c>
      <c r="P66" s="34" t="s">
        <v>580</v>
      </c>
      <c r="Q66" s="34" t="s">
        <v>993</v>
      </c>
      <c r="R66" s="34">
        <v>3124410717</v>
      </c>
      <c r="S66" s="34" t="s">
        <v>741</v>
      </c>
      <c r="T66" s="34">
        <v>1028800327</v>
      </c>
      <c r="U66" s="34" t="s">
        <v>994</v>
      </c>
      <c r="V66" s="34" t="s">
        <v>995</v>
      </c>
      <c r="W66" s="34" t="s">
        <v>620</v>
      </c>
      <c r="X66" s="34" t="s">
        <v>996</v>
      </c>
      <c r="Y66" s="34"/>
      <c r="Z66" s="34" t="s">
        <v>997</v>
      </c>
      <c r="AA66" s="34">
        <v>16</v>
      </c>
      <c r="AB66" s="34" t="s">
        <v>598</v>
      </c>
      <c r="AC66" s="34">
        <v>11</v>
      </c>
      <c r="AD66" s="34" t="s">
        <v>998</v>
      </c>
      <c r="AE66" s="34"/>
      <c r="AF66" s="34" t="s">
        <v>590</v>
      </c>
      <c r="AG66" s="38" cm="1">
        <f t="array" ref="AG66:AO66">_xlfn.LET(_xlpm.n,COUNTIFS($B$2:$B66,$B66,$M$2:$M66,$M66),_xlpm.res,IF($M66=1,_xlfn._xlws.FILTER('TABLETAS ESTUDIANTES'!$C$2:$K$1000,'TABLETAS ESTUDIANTES'!$B$2:$B$1000=$B66),_xlfn._xlws.FILTER('PORTATIL ESTUDIANTES'!$C$2:$K$1000,'PORTATIL ESTUDIANTES'!$B$2:$B$1000=$B66)),IFERROR(INDEX(_xlpm.res,_xlpm.n,_xlfn.SEQUENCE(1,9)),""))</f>
        <v>117662002792</v>
      </c>
      <c r="AH66" s="33" t="str">
        <v>INSTITUCION EDUCATIVA SAN AGUSTIN - SEDE PRINCIPAL</v>
      </c>
      <c r="AI66" s="33" t="str">
        <v>Samaná</v>
      </c>
      <c r="AJ66" s="33" t="str">
        <v>ENTIDAD TERRITORIAL</v>
      </c>
      <c r="AK66" s="33" t="str">
        <v>COMITÉ DE FOCALIZACION 2026</v>
      </c>
      <c r="AL66" s="33">
        <v>45053</v>
      </c>
      <c r="AM66" s="33" t="str">
        <v>BT TABLETA LENOVO IDEA TAB PRO  CTO 158-25</v>
      </c>
      <c r="AN66" s="33">
        <v>1</v>
      </c>
      <c r="AO66" s="33" t="str">
        <v>HA2HFW6V</v>
      </c>
    </row>
    <row r="67" spans="1:41" ht="101.5" x14ac:dyDescent="0.35">
      <c r="A67" s="34" t="s">
        <v>573</v>
      </c>
      <c r="B67" s="34">
        <v>94788</v>
      </c>
      <c r="C67" s="34" t="s">
        <v>574</v>
      </c>
      <c r="D67" s="34" t="s">
        <v>575</v>
      </c>
      <c r="E67" s="34">
        <v>17662</v>
      </c>
      <c r="F67" s="34" t="s">
        <v>458</v>
      </c>
      <c r="G67" s="35">
        <v>117662002792</v>
      </c>
      <c r="H67" s="34" t="s">
        <v>987</v>
      </c>
      <c r="I67" s="34">
        <v>117662002792</v>
      </c>
      <c r="J67" s="34" t="s">
        <v>528</v>
      </c>
      <c r="K67" s="34" t="s">
        <v>577</v>
      </c>
      <c r="L67" s="34" t="s">
        <v>578</v>
      </c>
      <c r="M67" s="36">
        <v>1</v>
      </c>
      <c r="N67" s="34" t="s">
        <v>999</v>
      </c>
      <c r="O67" s="34">
        <v>30226172</v>
      </c>
      <c r="P67" s="34" t="s">
        <v>580</v>
      </c>
      <c r="Q67" s="34" t="s">
        <v>1000</v>
      </c>
      <c r="R67" s="34">
        <v>3213552605</v>
      </c>
      <c r="S67" s="34" t="s">
        <v>741</v>
      </c>
      <c r="T67" s="34">
        <v>1054555584</v>
      </c>
      <c r="U67" s="34" t="s">
        <v>658</v>
      </c>
      <c r="V67" s="34">
        <v>0</v>
      </c>
      <c r="W67" s="34" t="s">
        <v>679</v>
      </c>
      <c r="X67" s="34" t="s">
        <v>1001</v>
      </c>
      <c r="Y67" s="34"/>
      <c r="Z67" s="37">
        <v>40003</v>
      </c>
      <c r="AA67" s="34">
        <v>16</v>
      </c>
      <c r="AB67" s="34" t="s">
        <v>588</v>
      </c>
      <c r="AC67" s="34">
        <v>11</v>
      </c>
      <c r="AD67" s="34" t="s">
        <v>1002</v>
      </c>
      <c r="AE67" s="34"/>
      <c r="AF67" s="34" t="s">
        <v>590</v>
      </c>
      <c r="AG67" s="38" cm="1">
        <f t="array" ref="AG67:AO67">_xlfn.LET(_xlpm.n,COUNTIFS($B$2:$B67,$B67,$M$2:$M67,$M67),_xlpm.res,IF($M67=1,_xlfn._xlws.FILTER('TABLETAS ESTUDIANTES'!$C$2:$K$1000,'TABLETAS ESTUDIANTES'!$B$2:$B$1000=$B67),_xlfn._xlws.FILTER('PORTATIL ESTUDIANTES'!$C$2:$K$1000,'PORTATIL ESTUDIANTES'!$B$2:$B$1000=$B67)),IFERROR(INDEX(_xlpm.res,_xlpm.n,_xlfn.SEQUENCE(1,9)),""))</f>
        <v>117662002792</v>
      </c>
      <c r="AH67" s="33" t="str">
        <v>INSTITUCION EDUCATIVA SAN AGUSTIN - SEDE PRINCIPAL</v>
      </c>
      <c r="AI67" s="33" t="str">
        <v>Samaná</v>
      </c>
      <c r="AJ67" s="33" t="str">
        <v>ENTIDAD TERRITORIAL</v>
      </c>
      <c r="AK67" s="33" t="str">
        <v>COMITÉ DE FOCALIZACION 2026</v>
      </c>
      <c r="AL67" s="33">
        <v>45053</v>
      </c>
      <c r="AM67" s="33" t="str">
        <v>BT TABLETA LENOVO IDEA TAB PRO  CTO 158-25</v>
      </c>
      <c r="AN67" s="33">
        <v>1</v>
      </c>
      <c r="AO67" s="33" t="str">
        <v>HA2HDMYL</v>
      </c>
    </row>
    <row r="68" spans="1:41" ht="101.5" x14ac:dyDescent="0.35">
      <c r="A68" s="34" t="s">
        <v>573</v>
      </c>
      <c r="B68" s="34">
        <v>94788</v>
      </c>
      <c r="C68" s="34" t="s">
        <v>574</v>
      </c>
      <c r="D68" s="34" t="s">
        <v>575</v>
      </c>
      <c r="E68" s="34">
        <v>17662</v>
      </c>
      <c r="F68" s="34" t="s">
        <v>458</v>
      </c>
      <c r="G68" s="35">
        <v>117662002792</v>
      </c>
      <c r="H68" s="34" t="s">
        <v>987</v>
      </c>
      <c r="I68" s="34">
        <v>117662002792</v>
      </c>
      <c r="J68" s="34" t="s">
        <v>528</v>
      </c>
      <c r="K68" s="34" t="s">
        <v>577</v>
      </c>
      <c r="L68" s="34" t="s">
        <v>578</v>
      </c>
      <c r="M68" s="36">
        <v>1</v>
      </c>
      <c r="N68" s="34" t="s">
        <v>1003</v>
      </c>
      <c r="O68" s="34">
        <v>30226158</v>
      </c>
      <c r="P68" s="34" t="s">
        <v>580</v>
      </c>
      <c r="Q68" s="34" t="s">
        <v>1004</v>
      </c>
      <c r="R68" s="34">
        <v>3226162094</v>
      </c>
      <c r="S68" s="34" t="s">
        <v>741</v>
      </c>
      <c r="T68" s="34">
        <v>1109548629</v>
      </c>
      <c r="U68" s="34" t="s">
        <v>711</v>
      </c>
      <c r="V68" s="34">
        <v>0</v>
      </c>
      <c r="W68" s="34" t="s">
        <v>1005</v>
      </c>
      <c r="X68" s="34" t="s">
        <v>1006</v>
      </c>
      <c r="Y68" s="34"/>
      <c r="Z68" s="34" t="s">
        <v>1007</v>
      </c>
      <c r="AA68" s="34">
        <v>16</v>
      </c>
      <c r="AB68" s="34" t="s">
        <v>588</v>
      </c>
      <c r="AC68" s="34">
        <v>11</v>
      </c>
      <c r="AD68" s="34" t="s">
        <v>1008</v>
      </c>
      <c r="AE68" s="34"/>
      <c r="AF68" s="34" t="s">
        <v>590</v>
      </c>
      <c r="AG68" s="38" cm="1">
        <f t="array" ref="AG68:AO68">_xlfn.LET(_xlpm.n,COUNTIFS($B$2:$B68,$B68,$M$2:$M68,$M68),_xlpm.res,IF($M68=1,_xlfn._xlws.FILTER('TABLETAS ESTUDIANTES'!$C$2:$K$1000,'TABLETAS ESTUDIANTES'!$B$2:$B$1000=$B68),_xlfn._xlws.FILTER('PORTATIL ESTUDIANTES'!$C$2:$K$1000,'PORTATIL ESTUDIANTES'!$B$2:$B$1000=$B68)),IFERROR(INDEX(_xlpm.res,_xlpm.n,_xlfn.SEQUENCE(1,9)),""))</f>
        <v>117662002792</v>
      </c>
      <c r="AH68" s="33" t="str">
        <v>INSTITUCION EDUCATIVA SAN AGUSTIN - SEDE PRINCIPAL</v>
      </c>
      <c r="AI68" s="33" t="str">
        <v>Samaná</v>
      </c>
      <c r="AJ68" s="33" t="str">
        <v>ENTIDAD TERRITORIAL</v>
      </c>
      <c r="AK68" s="33" t="str">
        <v>COMITÉ DE FOCALIZACION 2026</v>
      </c>
      <c r="AL68" s="33">
        <v>45053</v>
      </c>
      <c r="AM68" s="33" t="str">
        <v>BT TABLETA LENOVO IDEA TAB PRO  CTO 158-25</v>
      </c>
      <c r="AN68" s="33">
        <v>1</v>
      </c>
      <c r="AO68" s="33" t="str">
        <v>HA2HG4AG</v>
      </c>
    </row>
    <row r="69" spans="1:41" ht="101.5" x14ac:dyDescent="0.35">
      <c r="A69" s="34" t="s">
        <v>573</v>
      </c>
      <c r="B69" s="34">
        <v>94788</v>
      </c>
      <c r="C69" s="34" t="s">
        <v>574</v>
      </c>
      <c r="D69" s="34" t="s">
        <v>575</v>
      </c>
      <c r="E69" s="34">
        <v>17662</v>
      </c>
      <c r="F69" s="34" t="s">
        <v>458</v>
      </c>
      <c r="G69" s="35">
        <v>117662002792</v>
      </c>
      <c r="H69" s="34" t="s">
        <v>987</v>
      </c>
      <c r="I69" s="34">
        <v>117662002792</v>
      </c>
      <c r="J69" s="34" t="s">
        <v>528</v>
      </c>
      <c r="K69" s="34" t="s">
        <v>577</v>
      </c>
      <c r="L69" s="34" t="s">
        <v>578</v>
      </c>
      <c r="M69" s="36">
        <v>1</v>
      </c>
      <c r="N69" s="34" t="s">
        <v>1009</v>
      </c>
      <c r="O69" s="34">
        <v>24720901</v>
      </c>
      <c r="P69" s="34" t="s">
        <v>580</v>
      </c>
      <c r="Q69" s="34" t="s">
        <v>1010</v>
      </c>
      <c r="R69" s="34">
        <v>3117498731</v>
      </c>
      <c r="S69" s="34" t="s">
        <v>741</v>
      </c>
      <c r="T69" s="34">
        <v>1061656152</v>
      </c>
      <c r="U69" s="34" t="s">
        <v>1011</v>
      </c>
      <c r="V69" s="34" t="s">
        <v>1011</v>
      </c>
      <c r="W69" s="34" t="s">
        <v>614</v>
      </c>
      <c r="X69" s="34" t="s">
        <v>770</v>
      </c>
      <c r="Y69" s="34"/>
      <c r="Z69" s="34" t="s">
        <v>790</v>
      </c>
      <c r="AA69" s="34">
        <v>16</v>
      </c>
      <c r="AB69" s="34" t="s">
        <v>598</v>
      </c>
      <c r="AC69" s="34">
        <v>11</v>
      </c>
      <c r="AD69" s="34" t="s">
        <v>1012</v>
      </c>
      <c r="AE69" s="34"/>
      <c r="AF69" s="34" t="s">
        <v>590</v>
      </c>
      <c r="AG69" s="38" cm="1">
        <f t="array" ref="AG69:AO69">_xlfn.LET(_xlpm.n,COUNTIFS($B$2:$B69,$B69,$M$2:$M69,$M69),_xlpm.res,IF($M69=1,_xlfn._xlws.FILTER('TABLETAS ESTUDIANTES'!$C$2:$K$1000,'TABLETAS ESTUDIANTES'!$B$2:$B$1000=$B69),_xlfn._xlws.FILTER('PORTATIL ESTUDIANTES'!$C$2:$K$1000,'PORTATIL ESTUDIANTES'!$B$2:$B$1000=$B69)),IFERROR(INDEX(_xlpm.res,_xlpm.n,_xlfn.SEQUENCE(1,9)),""))</f>
        <v>117662002792</v>
      </c>
      <c r="AH69" s="33" t="str">
        <v>INSTITUCION EDUCATIVA SAN AGUSTIN - SEDE PRINCIPAL</v>
      </c>
      <c r="AI69" s="33" t="str">
        <v>Samaná</v>
      </c>
      <c r="AJ69" s="33" t="str">
        <v>ENTIDAD TERRITORIAL</v>
      </c>
      <c r="AK69" s="33" t="str">
        <v>COMITÉ DE FOCALIZACION 2026</v>
      </c>
      <c r="AL69" s="33">
        <v>45053</v>
      </c>
      <c r="AM69" s="33" t="str">
        <v>BT TABLETA LENOVO IDEA TAB PRO  CTO 158-25</v>
      </c>
      <c r="AN69" s="33">
        <v>1</v>
      </c>
      <c r="AO69" s="33" t="str">
        <v>HA2J945W</v>
      </c>
    </row>
    <row r="70" spans="1:41" ht="101.5" x14ac:dyDescent="0.35">
      <c r="A70" s="34" t="s">
        <v>573</v>
      </c>
      <c r="B70" s="34">
        <v>94788</v>
      </c>
      <c r="C70" s="34" t="s">
        <v>574</v>
      </c>
      <c r="D70" s="34" t="s">
        <v>575</v>
      </c>
      <c r="E70" s="34">
        <v>17662</v>
      </c>
      <c r="F70" s="34" t="s">
        <v>458</v>
      </c>
      <c r="G70" s="35">
        <v>117662002792</v>
      </c>
      <c r="H70" s="34" t="s">
        <v>987</v>
      </c>
      <c r="I70" s="34">
        <v>117662002792</v>
      </c>
      <c r="J70" s="34" t="s">
        <v>528</v>
      </c>
      <c r="K70" s="34" t="s">
        <v>577</v>
      </c>
      <c r="L70" s="34" t="s">
        <v>578</v>
      </c>
      <c r="M70" s="36">
        <v>1</v>
      </c>
      <c r="N70" s="34" t="s">
        <v>1013</v>
      </c>
      <c r="O70" s="34">
        <v>1061654082</v>
      </c>
      <c r="P70" s="34" t="s">
        <v>580</v>
      </c>
      <c r="Q70" s="34" t="s">
        <v>1014</v>
      </c>
      <c r="R70" s="34">
        <v>3122973635</v>
      </c>
      <c r="S70" s="34" t="s">
        <v>741</v>
      </c>
      <c r="T70" s="34">
        <v>1013270124</v>
      </c>
      <c r="U70" s="34" t="s">
        <v>1015</v>
      </c>
      <c r="V70" s="34">
        <v>0</v>
      </c>
      <c r="W70" s="34" t="s">
        <v>1016</v>
      </c>
      <c r="X70" s="34" t="s">
        <v>1017</v>
      </c>
      <c r="Y70" s="34"/>
      <c r="Z70" s="34" t="s">
        <v>966</v>
      </c>
      <c r="AA70" s="34">
        <v>16</v>
      </c>
      <c r="AB70" s="34" t="s">
        <v>588</v>
      </c>
      <c r="AC70" s="34">
        <v>11</v>
      </c>
      <c r="AD70" s="34" t="s">
        <v>1018</v>
      </c>
      <c r="AE70" s="34"/>
      <c r="AF70" s="34" t="s">
        <v>590</v>
      </c>
      <c r="AG70" s="38" cm="1">
        <f t="array" ref="AG70:AO70">_xlfn.LET(_xlpm.n,COUNTIFS($B$2:$B70,$B70,$M$2:$M70,$M70),_xlpm.res,IF($M70=1,_xlfn._xlws.FILTER('TABLETAS ESTUDIANTES'!$C$2:$K$1000,'TABLETAS ESTUDIANTES'!$B$2:$B$1000=$B70),_xlfn._xlws.FILTER('PORTATIL ESTUDIANTES'!$C$2:$K$1000,'PORTATIL ESTUDIANTES'!$B$2:$B$1000=$B70)),IFERROR(INDEX(_xlpm.res,_xlpm.n,_xlfn.SEQUENCE(1,9)),""))</f>
        <v>117662002792</v>
      </c>
      <c r="AH70" s="33" t="str">
        <v>INSTITUCION EDUCATIVA SAN AGUSTIN - SEDE PRINCIPAL</v>
      </c>
      <c r="AI70" s="33" t="str">
        <v>Samaná</v>
      </c>
      <c r="AJ70" s="33" t="str">
        <v>ENTIDAD TERRITORIAL</v>
      </c>
      <c r="AK70" s="33" t="str">
        <v>COMITÉ DE FOCALIZACION 2026</v>
      </c>
      <c r="AL70" s="33">
        <v>45053</v>
      </c>
      <c r="AM70" s="33" t="str">
        <v>BT TABLETA LENOVO IDEA TAB PRO  CTO 158-25</v>
      </c>
      <c r="AN70" s="33">
        <v>1</v>
      </c>
      <c r="AO70" s="33" t="str">
        <v>HA2HF3Z4</v>
      </c>
    </row>
    <row r="71" spans="1:41" ht="101.5" x14ac:dyDescent="0.35">
      <c r="A71" s="34" t="s">
        <v>573</v>
      </c>
      <c r="B71" s="34">
        <v>94788</v>
      </c>
      <c r="C71" s="34" t="s">
        <v>574</v>
      </c>
      <c r="D71" s="34" t="s">
        <v>575</v>
      </c>
      <c r="E71" s="34">
        <v>17662</v>
      </c>
      <c r="F71" s="34" t="s">
        <v>458</v>
      </c>
      <c r="G71" s="35">
        <v>117662002792</v>
      </c>
      <c r="H71" s="34" t="s">
        <v>987</v>
      </c>
      <c r="I71" s="34">
        <v>117662002792</v>
      </c>
      <c r="J71" s="34" t="s">
        <v>528</v>
      </c>
      <c r="K71" s="34" t="s">
        <v>577</v>
      </c>
      <c r="L71" s="34" t="s">
        <v>578</v>
      </c>
      <c r="M71" s="36">
        <v>1</v>
      </c>
      <c r="N71" s="34" t="s">
        <v>1019</v>
      </c>
      <c r="O71" s="34">
        <v>1007322527</v>
      </c>
      <c r="P71" s="34" t="s">
        <v>580</v>
      </c>
      <c r="Q71" s="34" t="s">
        <v>1020</v>
      </c>
      <c r="R71" s="34">
        <v>3127911262</v>
      </c>
      <c r="S71" s="34" t="s">
        <v>741</v>
      </c>
      <c r="T71" s="34">
        <v>1058199839</v>
      </c>
      <c r="U71" s="34" t="s">
        <v>858</v>
      </c>
      <c r="V71" s="34" t="s">
        <v>1021</v>
      </c>
      <c r="W71" s="34" t="s">
        <v>1001</v>
      </c>
      <c r="X71" s="34" t="s">
        <v>1022</v>
      </c>
      <c r="Y71" s="34"/>
      <c r="Z71" s="37">
        <v>39878</v>
      </c>
      <c r="AA71" s="34">
        <v>16</v>
      </c>
      <c r="AB71" s="34" t="s">
        <v>588</v>
      </c>
      <c r="AC71" s="34">
        <v>11</v>
      </c>
      <c r="AD71" s="34" t="s">
        <v>1023</v>
      </c>
      <c r="AE71" s="34"/>
      <c r="AF71" s="34" t="s">
        <v>590</v>
      </c>
      <c r="AG71" s="38" cm="1">
        <f t="array" ref="AG71:AO71">_xlfn.LET(_xlpm.n,COUNTIFS($B$2:$B71,$B71,$M$2:$M71,$M71),_xlpm.res,IF($M71=1,_xlfn._xlws.FILTER('TABLETAS ESTUDIANTES'!$C$2:$K$1000,'TABLETAS ESTUDIANTES'!$B$2:$B$1000=$B71),_xlfn._xlws.FILTER('PORTATIL ESTUDIANTES'!$C$2:$K$1000,'PORTATIL ESTUDIANTES'!$B$2:$B$1000=$B71)),IFERROR(INDEX(_xlpm.res,_xlpm.n,_xlfn.SEQUENCE(1,9)),""))</f>
        <v>117662002792</v>
      </c>
      <c r="AH71" s="33" t="str">
        <v>INSTITUCION EDUCATIVA SAN AGUSTIN - SEDE PRINCIPAL</v>
      </c>
      <c r="AI71" s="33" t="str">
        <v>Samaná</v>
      </c>
      <c r="AJ71" s="33" t="str">
        <v>ENTIDAD TERRITORIAL</v>
      </c>
      <c r="AK71" s="33" t="str">
        <v>COMITÉ DE FOCALIZACION 2026</v>
      </c>
      <c r="AL71" s="33">
        <v>45053</v>
      </c>
      <c r="AM71" s="33" t="str">
        <v>BT TABLETA LENOVO IDEA TAB PRO  CTO 158-25</v>
      </c>
      <c r="AN71" s="33">
        <v>1</v>
      </c>
      <c r="AO71" s="33" t="str">
        <v>HA2HFX1D</v>
      </c>
    </row>
    <row r="72" spans="1:41" ht="101.5" x14ac:dyDescent="0.35">
      <c r="A72" s="34" t="s">
        <v>573</v>
      </c>
      <c r="B72" s="34">
        <v>21883</v>
      </c>
      <c r="C72" s="34" t="s">
        <v>574</v>
      </c>
      <c r="D72" s="34" t="s">
        <v>575</v>
      </c>
      <c r="E72" s="34">
        <v>17877</v>
      </c>
      <c r="F72" s="34" t="s">
        <v>538</v>
      </c>
      <c r="G72" s="35">
        <v>117877000103</v>
      </c>
      <c r="H72" s="34" t="s">
        <v>1024</v>
      </c>
      <c r="I72" s="34">
        <v>117877000103</v>
      </c>
      <c r="J72" s="34" t="s">
        <v>537</v>
      </c>
      <c r="K72" s="34" t="s">
        <v>577</v>
      </c>
      <c r="L72" s="34" t="s">
        <v>578</v>
      </c>
      <c r="M72" s="36">
        <v>1</v>
      </c>
      <c r="N72" s="34" t="s">
        <v>1025</v>
      </c>
      <c r="O72" s="34">
        <v>25248748</v>
      </c>
      <c r="P72" s="34" t="s">
        <v>580</v>
      </c>
      <c r="Q72" s="34" t="s">
        <v>1026</v>
      </c>
      <c r="R72" s="34">
        <v>3108400710</v>
      </c>
      <c r="S72" s="34" t="s">
        <v>741</v>
      </c>
      <c r="T72" s="34">
        <v>1089937240</v>
      </c>
      <c r="U72" s="34" t="s">
        <v>583</v>
      </c>
      <c r="V72" s="34" t="s">
        <v>1027</v>
      </c>
      <c r="W72" s="34" t="s">
        <v>813</v>
      </c>
      <c r="X72" s="34" t="s">
        <v>645</v>
      </c>
      <c r="Y72" s="34"/>
      <c r="Z72" s="34" t="s">
        <v>1028</v>
      </c>
      <c r="AA72" s="34">
        <v>15</v>
      </c>
      <c r="AB72" s="34" t="s">
        <v>588</v>
      </c>
      <c r="AC72" s="34">
        <v>11</v>
      </c>
      <c r="AD72" s="34" t="s">
        <v>1029</v>
      </c>
      <c r="AE72" s="34"/>
      <c r="AF72" s="34" t="s">
        <v>590</v>
      </c>
      <c r="AG72" s="38" cm="1">
        <f t="array" ref="AG72:AO72">_xlfn.LET(_xlpm.n,COUNTIFS($B$2:$B72,$B72,$M$2:$M72,$M72),_xlpm.res,IF($M72=1,_xlfn._xlws.FILTER('TABLETAS ESTUDIANTES'!$C$2:$K$1000,'TABLETAS ESTUDIANTES'!$B$2:$B$1000=$B72),_xlfn._xlws.FILTER('PORTATIL ESTUDIANTES'!$C$2:$K$1000,'PORTATIL ESTUDIANTES'!$B$2:$B$1000=$B72)),IFERROR(INDEX(_xlpm.res,_xlpm.n,_xlfn.SEQUENCE(1,9)),""))</f>
        <v>117877000103</v>
      </c>
      <c r="AH72" s="33" t="str">
        <v>INSTITUCION EDUCATIVA LA MILAGROSA - SEDE PRINCIPAL</v>
      </c>
      <c r="AI72" s="33" t="str">
        <v>Viterbo</v>
      </c>
      <c r="AJ72" s="33" t="str">
        <v>ENTIDAD TERRITORIAL</v>
      </c>
      <c r="AK72" s="33" t="str">
        <v>COMITÉ DE FOCALIZACION 2026</v>
      </c>
      <c r="AL72" s="33">
        <v>45053</v>
      </c>
      <c r="AM72" s="33" t="str">
        <v>BT TABLETA LENOVO IDEA TAB PRO  CTO 158-25</v>
      </c>
      <c r="AN72" s="33">
        <v>1</v>
      </c>
      <c r="AO72" s="33" t="str">
        <v>HA2HFY37</v>
      </c>
    </row>
    <row r="73" spans="1:41" ht="101.5" x14ac:dyDescent="0.35">
      <c r="A73" s="34" t="s">
        <v>573</v>
      </c>
      <c r="B73" s="34">
        <v>21883</v>
      </c>
      <c r="C73" s="34" t="s">
        <v>574</v>
      </c>
      <c r="D73" s="34" t="s">
        <v>575</v>
      </c>
      <c r="E73" s="34">
        <v>17877</v>
      </c>
      <c r="F73" s="34" t="s">
        <v>538</v>
      </c>
      <c r="G73" s="35">
        <v>117877000103</v>
      </c>
      <c r="H73" s="34" t="s">
        <v>1024</v>
      </c>
      <c r="I73" s="34">
        <v>117877000103</v>
      </c>
      <c r="J73" s="34" t="s">
        <v>537</v>
      </c>
      <c r="K73" s="34" t="s">
        <v>577</v>
      </c>
      <c r="L73" s="34" t="s">
        <v>578</v>
      </c>
      <c r="M73" s="36">
        <v>1</v>
      </c>
      <c r="N73" s="34" t="s">
        <v>1030</v>
      </c>
      <c r="O73" s="34">
        <v>4547551</v>
      </c>
      <c r="P73" s="34" t="s">
        <v>649</v>
      </c>
      <c r="Q73" s="34" t="s">
        <v>1031</v>
      </c>
      <c r="R73" s="34">
        <v>3137355470</v>
      </c>
      <c r="S73" s="34" t="s">
        <v>741</v>
      </c>
      <c r="T73" s="34">
        <v>1054873244</v>
      </c>
      <c r="U73" s="34" t="s">
        <v>1032</v>
      </c>
      <c r="V73" s="34" t="s">
        <v>1033</v>
      </c>
      <c r="W73" s="34" t="s">
        <v>1006</v>
      </c>
      <c r="X73" s="34" t="s">
        <v>864</v>
      </c>
      <c r="Y73" s="34"/>
      <c r="Z73" s="34" t="s">
        <v>1034</v>
      </c>
      <c r="AA73" s="34">
        <v>16</v>
      </c>
      <c r="AB73" s="34" t="s">
        <v>598</v>
      </c>
      <c r="AC73" s="34">
        <v>11</v>
      </c>
      <c r="AD73" s="34" t="s">
        <v>1035</v>
      </c>
      <c r="AE73" s="34"/>
      <c r="AF73" s="34" t="s">
        <v>590</v>
      </c>
      <c r="AG73" s="38" cm="1">
        <f t="array" ref="AG73:AO73">_xlfn.LET(_xlpm.n,COUNTIFS($B$2:$B73,$B73,$M$2:$M73,$M73),_xlpm.res,IF($M73=1,_xlfn._xlws.FILTER('TABLETAS ESTUDIANTES'!$C$2:$K$1000,'TABLETAS ESTUDIANTES'!$B$2:$B$1000=$B73),_xlfn._xlws.FILTER('PORTATIL ESTUDIANTES'!$C$2:$K$1000,'PORTATIL ESTUDIANTES'!$B$2:$B$1000=$B73)),IFERROR(INDEX(_xlpm.res,_xlpm.n,_xlfn.SEQUENCE(1,9)),""))</f>
        <v>117877000103</v>
      </c>
      <c r="AH73" s="33" t="str">
        <v>INSTITUCION EDUCATIVA LA MILAGROSA - SEDE PRINCIPAL</v>
      </c>
      <c r="AI73" s="33" t="str">
        <v>Viterbo</v>
      </c>
      <c r="AJ73" s="33" t="str">
        <v>ENTIDAD TERRITORIAL</v>
      </c>
      <c r="AK73" s="33" t="str">
        <v>COMITÉ DE FOCALIZACION 2026</v>
      </c>
      <c r="AL73" s="33">
        <v>45053</v>
      </c>
      <c r="AM73" s="33" t="str">
        <v>BT TABLETA LENOVO IDEA TAB PRO  CTO 158-25</v>
      </c>
      <c r="AN73" s="33">
        <v>1</v>
      </c>
      <c r="AO73" s="33" t="str">
        <v>HA2HEL3E</v>
      </c>
    </row>
    <row r="74" spans="1:41" ht="101.5" x14ac:dyDescent="0.35">
      <c r="A74" s="34" t="s">
        <v>573</v>
      </c>
      <c r="B74" s="34">
        <v>21883</v>
      </c>
      <c r="C74" s="34" t="s">
        <v>574</v>
      </c>
      <c r="D74" s="34" t="s">
        <v>575</v>
      </c>
      <c r="E74" s="34">
        <v>17877</v>
      </c>
      <c r="F74" s="34" t="s">
        <v>538</v>
      </c>
      <c r="G74" s="35">
        <v>117877000103</v>
      </c>
      <c r="H74" s="34" t="s">
        <v>1024</v>
      </c>
      <c r="I74" s="34">
        <v>117877000103</v>
      </c>
      <c r="J74" s="34" t="s">
        <v>537</v>
      </c>
      <c r="K74" s="34" t="s">
        <v>577</v>
      </c>
      <c r="L74" s="34" t="s">
        <v>578</v>
      </c>
      <c r="M74" s="36">
        <v>1</v>
      </c>
      <c r="N74" s="34" t="s">
        <v>1036</v>
      </c>
      <c r="O74" s="34">
        <v>25249129</v>
      </c>
      <c r="P74" s="34" t="s">
        <v>580</v>
      </c>
      <c r="Q74" s="34" t="s">
        <v>1037</v>
      </c>
      <c r="R74" s="34">
        <v>3137234413</v>
      </c>
      <c r="S74" s="34" t="s">
        <v>741</v>
      </c>
      <c r="T74" s="34">
        <v>1087553870</v>
      </c>
      <c r="U74" s="34" t="s">
        <v>1032</v>
      </c>
      <c r="V74" s="34" t="s">
        <v>1038</v>
      </c>
      <c r="W74" s="34" t="s">
        <v>613</v>
      </c>
      <c r="X74" s="34" t="s">
        <v>1039</v>
      </c>
      <c r="Y74" s="34"/>
      <c r="Z74" s="34" t="s">
        <v>1040</v>
      </c>
      <c r="AA74" s="34">
        <v>16</v>
      </c>
      <c r="AB74" s="34" t="s">
        <v>598</v>
      </c>
      <c r="AC74" s="34">
        <v>11</v>
      </c>
      <c r="AD74" s="34" t="s">
        <v>1041</v>
      </c>
      <c r="AE74" s="34"/>
      <c r="AF74" s="34" t="s">
        <v>590</v>
      </c>
      <c r="AG74" s="38" cm="1">
        <f t="array" ref="AG74:AO74">_xlfn.LET(_xlpm.n,COUNTIFS($B$2:$B74,$B74,$M$2:$M74,$M74),_xlpm.res,IF($M74=1,_xlfn._xlws.FILTER('TABLETAS ESTUDIANTES'!$C$2:$K$1000,'TABLETAS ESTUDIANTES'!$B$2:$B$1000=$B74),_xlfn._xlws.FILTER('PORTATIL ESTUDIANTES'!$C$2:$K$1000,'PORTATIL ESTUDIANTES'!$B$2:$B$1000=$B74)),IFERROR(INDEX(_xlpm.res,_xlpm.n,_xlfn.SEQUENCE(1,9)),""))</f>
        <v>117877000103</v>
      </c>
      <c r="AH74" s="33" t="str">
        <v>INSTITUCION EDUCATIVA LA MILAGROSA - SEDE PRINCIPAL</v>
      </c>
      <c r="AI74" s="33" t="str">
        <v>Viterbo</v>
      </c>
      <c r="AJ74" s="33" t="str">
        <v>ENTIDAD TERRITORIAL</v>
      </c>
      <c r="AK74" s="33" t="str">
        <v>COMITÉ DE FOCALIZACION 2026</v>
      </c>
      <c r="AL74" s="33">
        <v>45053</v>
      </c>
      <c r="AM74" s="33" t="str">
        <v>BT TABLETA LENOVO IDEA TAB PRO  CTO 158-25</v>
      </c>
      <c r="AN74" s="33">
        <v>1</v>
      </c>
      <c r="AO74" s="33" t="str">
        <v>HA2HFW5P</v>
      </c>
    </row>
    <row r="75" spans="1:41" ht="159.5" x14ac:dyDescent="0.35">
      <c r="A75" s="34" t="s">
        <v>1042</v>
      </c>
      <c r="B75" s="34">
        <v>21878</v>
      </c>
      <c r="C75" s="34" t="s">
        <v>574</v>
      </c>
      <c r="D75" s="34" t="s">
        <v>575</v>
      </c>
      <c r="E75" s="34">
        <v>17042</v>
      </c>
      <c r="F75" s="34" t="s">
        <v>415</v>
      </c>
      <c r="G75" s="35">
        <v>117042000650</v>
      </c>
      <c r="H75" s="34" t="s">
        <v>1043</v>
      </c>
      <c r="I75" s="34">
        <v>117042000650</v>
      </c>
      <c r="J75" s="34" t="s">
        <v>414</v>
      </c>
      <c r="K75" s="34" t="s">
        <v>577</v>
      </c>
      <c r="L75" s="34">
        <v>1</v>
      </c>
      <c r="M75" s="36" t="s">
        <v>726</v>
      </c>
      <c r="N75" s="34" t="s">
        <v>1045</v>
      </c>
      <c r="O75" s="34">
        <v>1054917469</v>
      </c>
      <c r="P75" s="34" t="s">
        <v>580</v>
      </c>
      <c r="Q75" s="34" t="s">
        <v>1046</v>
      </c>
      <c r="R75" s="34">
        <v>3217247475</v>
      </c>
      <c r="S75" s="34" t="s">
        <v>741</v>
      </c>
      <c r="T75" s="34">
        <v>1058079146</v>
      </c>
      <c r="U75" s="34" t="s">
        <v>763</v>
      </c>
      <c r="V75" s="34">
        <v>0</v>
      </c>
      <c r="W75" s="34" t="s">
        <v>607</v>
      </c>
      <c r="X75" s="34" t="s">
        <v>1044</v>
      </c>
      <c r="Y75" s="34"/>
      <c r="Z75" s="34" t="s">
        <v>1047</v>
      </c>
      <c r="AA75" s="34">
        <v>16</v>
      </c>
      <c r="AB75" s="34" t="s">
        <v>588</v>
      </c>
      <c r="AC75" s="34">
        <v>11</v>
      </c>
      <c r="AD75" s="34" t="s">
        <v>1048</v>
      </c>
      <c r="AE75" s="34"/>
      <c r="AF75" s="34" t="s">
        <v>590</v>
      </c>
      <c r="AG75" s="38" cm="1">
        <f t="array" ref="AG75:AO75">_xlfn.LET(_xlpm.n,COUNTIFS($B$2:$B75,$B75,$M$2:$M75,$M75),_xlpm.res,IF($M75=1,_xlfn._xlws.FILTER('TABLETAS ESTUDIANTES'!$C$2:$K$1000,'TABLETAS ESTUDIANTES'!$B$2:$B$1000=$B75),_xlfn._xlws.FILTER('PORTATIL ESTUDIANTES'!$C$2:$K$1000,'PORTATIL ESTUDIANTES'!$B$2:$B$1000=$B75)),IFERROR(INDEX(_xlpm.res,_xlpm.n,_xlfn.SEQUENCE(1,9)),""))</f>
        <v>117042000650</v>
      </c>
      <c r="AH75" s="33" t="str">
        <v>INSTITUCION EDUCATIVA ESCUELA NORMAL SUPERIOR REBECA SIERRA CARDONA - SEDE PRINCIPAL</v>
      </c>
      <c r="AI75" s="33" t="str">
        <v>Anserma</v>
      </c>
      <c r="AJ75" s="33" t="str">
        <v>ENTIDAD TERRITORIAL</v>
      </c>
      <c r="AK75" s="33" t="str">
        <v>COMITÉ DE FOCALIZACION 2026</v>
      </c>
      <c r="AL75" s="33">
        <v>45030</v>
      </c>
      <c r="AM75" s="33" t="str">
        <v>PORTÁTIL 14" HEWLETT PACKARD, PROBOOK 445 14 INCH G11 RYZEN 3 7335U - OC 148772</v>
      </c>
      <c r="AN75" s="33">
        <v>1</v>
      </c>
      <c r="AO75" s="33" t="str">
        <v>5CD53293KF</v>
      </c>
    </row>
    <row r="76" spans="1:41" ht="145" x14ac:dyDescent="0.35">
      <c r="A76" s="34" t="s">
        <v>1042</v>
      </c>
      <c r="B76" s="34">
        <v>1181</v>
      </c>
      <c r="C76" s="34" t="s">
        <v>574</v>
      </c>
      <c r="D76" s="34" t="s">
        <v>575</v>
      </c>
      <c r="E76" s="34">
        <v>17050</v>
      </c>
      <c r="F76" s="34" t="s">
        <v>420</v>
      </c>
      <c r="G76" s="35">
        <v>117050000316</v>
      </c>
      <c r="H76" s="34" t="s">
        <v>1049</v>
      </c>
      <c r="I76" s="34">
        <v>117050000316</v>
      </c>
      <c r="J76" s="34" t="s">
        <v>419</v>
      </c>
      <c r="K76" s="34" t="s">
        <v>577</v>
      </c>
      <c r="L76" s="34">
        <v>1</v>
      </c>
      <c r="M76" s="36" t="s">
        <v>726</v>
      </c>
      <c r="N76" s="34" t="s">
        <v>1050</v>
      </c>
      <c r="O76" s="34">
        <v>1056300638</v>
      </c>
      <c r="P76" s="34" t="s">
        <v>580</v>
      </c>
      <c r="Q76" s="34" t="s">
        <v>1051</v>
      </c>
      <c r="R76" s="34">
        <v>3104111433</v>
      </c>
      <c r="S76" s="34" t="s">
        <v>741</v>
      </c>
      <c r="T76" s="34">
        <v>1054872128</v>
      </c>
      <c r="U76" s="34" t="s">
        <v>803</v>
      </c>
      <c r="V76" s="34">
        <v>0</v>
      </c>
      <c r="W76" s="34" t="s">
        <v>825</v>
      </c>
      <c r="X76" s="34" t="s">
        <v>1052</v>
      </c>
      <c r="Y76" s="34"/>
      <c r="Z76" s="34" t="s">
        <v>1053</v>
      </c>
      <c r="AA76" s="34">
        <v>17</v>
      </c>
      <c r="AB76" s="34" t="s">
        <v>588</v>
      </c>
      <c r="AC76" s="34">
        <v>11</v>
      </c>
      <c r="AD76" s="34" t="s">
        <v>1054</v>
      </c>
      <c r="AE76" s="34"/>
      <c r="AF76" s="34" t="s">
        <v>590</v>
      </c>
      <c r="AG76" s="38" cm="1">
        <f t="array" ref="AG76:AO76">_xlfn.LET(_xlpm.n,COUNTIFS($B$2:$B76,$B76,$M$2:$M76,$M76),_xlpm.res,IF($M76=1,_xlfn._xlws.FILTER('TABLETAS ESTUDIANTES'!$C$2:$K$1000,'TABLETAS ESTUDIANTES'!$B$2:$B$1000=$B76),_xlfn._xlws.FILTER('PORTATIL ESTUDIANTES'!$C$2:$K$1000,'PORTATIL ESTUDIANTES'!$B$2:$B$1000=$B76)),IFERROR(INDEX(_xlpm.res,_xlpm.n,_xlfn.SEQUENCE(1,9)),""))</f>
        <v>117050000316</v>
      </c>
      <c r="AH76" s="33" t="str">
        <v>INSTITUCION EDUCATIVA ESCUELA NORMAL SUPERIOR SAGRADO CORAZON - SEDE PRINCIPAL</v>
      </c>
      <c r="AI76" s="33" t="str">
        <v>Aranzazu</v>
      </c>
      <c r="AJ76" s="33" t="str">
        <v>ENTIDAD TERRITORIAL</v>
      </c>
      <c r="AK76" s="33" t="str">
        <v>COMITÉ DE FOCALIZACION 2026</v>
      </c>
      <c r="AL76" s="33">
        <v>45030</v>
      </c>
      <c r="AM76" s="33" t="str">
        <v>PORTÁTIL 14" HEWLETT PACKARD, PROBOOK 445 14 INCH G11 RYZEN 3 7335U - OC 148772</v>
      </c>
      <c r="AN76" s="33">
        <v>1</v>
      </c>
      <c r="AO76" s="33" t="str">
        <v>5CD53276HP</v>
      </c>
    </row>
    <row r="77" spans="1:41" ht="116" x14ac:dyDescent="0.35">
      <c r="A77" s="34" t="s">
        <v>1042</v>
      </c>
      <c r="B77" s="34">
        <v>2994</v>
      </c>
      <c r="C77" s="34" t="s">
        <v>574</v>
      </c>
      <c r="D77" s="34" t="s">
        <v>575</v>
      </c>
      <c r="E77" s="34">
        <v>17380</v>
      </c>
      <c r="F77" s="34" t="s">
        <v>423</v>
      </c>
      <c r="G77" s="35">
        <v>117380000185</v>
      </c>
      <c r="H77" s="34" t="s">
        <v>815</v>
      </c>
      <c r="I77" s="34">
        <v>117380000185</v>
      </c>
      <c r="J77" s="34" t="s">
        <v>422</v>
      </c>
      <c r="K77" s="34" t="s">
        <v>577</v>
      </c>
      <c r="L77" s="34">
        <v>1</v>
      </c>
      <c r="M77" s="36" t="s">
        <v>726</v>
      </c>
      <c r="N77" s="34" t="s">
        <v>1055</v>
      </c>
      <c r="O77" s="34">
        <v>30235667</v>
      </c>
      <c r="P77" s="34" t="s">
        <v>580</v>
      </c>
      <c r="Q77" s="34" t="s">
        <v>1056</v>
      </c>
      <c r="R77" s="34">
        <v>3115113433</v>
      </c>
      <c r="S77" s="34" t="s">
        <v>741</v>
      </c>
      <c r="T77" s="34">
        <v>1013130550</v>
      </c>
      <c r="U77" s="34" t="s">
        <v>658</v>
      </c>
      <c r="V77" s="34">
        <v>0</v>
      </c>
      <c r="W77" s="34" t="s">
        <v>1057</v>
      </c>
      <c r="X77" s="34" t="s">
        <v>705</v>
      </c>
      <c r="Y77" s="34"/>
      <c r="Z77" s="34" t="s">
        <v>1058</v>
      </c>
      <c r="AA77" s="34">
        <v>16</v>
      </c>
      <c r="AB77" s="34" t="s">
        <v>588</v>
      </c>
      <c r="AC77" s="34">
        <v>11</v>
      </c>
      <c r="AD77" s="34" t="s">
        <v>1059</v>
      </c>
      <c r="AE77" s="34"/>
      <c r="AF77" s="34" t="s">
        <v>590</v>
      </c>
      <c r="AG77" s="38" cm="1">
        <f t="array" ref="AG77:AO77">_xlfn.LET(_xlpm.n,COUNTIFS($B$2:$B77,$B77,$M$2:$M77,$M77),_xlpm.res,IF($M77=1,_xlfn._xlws.FILTER('TABLETAS ESTUDIANTES'!$C$2:$K$1000,'TABLETAS ESTUDIANTES'!$B$2:$B$1000=$B77),_xlfn._xlws.FILTER('PORTATIL ESTUDIANTES'!$C$2:$K$1000,'PORTATIL ESTUDIANTES'!$B$2:$B$1000=$B77)),IFERROR(INDEX(_xlpm.res,_xlpm.n,_xlfn.SEQUENCE(1,9)),""))</f>
        <v>117380000185</v>
      </c>
      <c r="AH77" s="33" t="str">
        <v>INSTITUCION EDUCATIVA MARCO FIDEL SUAREZ - SEDE PRINCIPAL</v>
      </c>
      <c r="AI77" s="33" t="str">
        <v>La Dorada</v>
      </c>
      <c r="AJ77" s="33" t="str">
        <v>ENTIDAD TERRITORIAL</v>
      </c>
      <c r="AK77" s="33" t="str">
        <v>COMITÉ DE FOCALIZACION 2026</v>
      </c>
      <c r="AL77" s="33">
        <v>45030</v>
      </c>
      <c r="AM77" s="33" t="str">
        <v>PORTÁTIL 14" HEWLETT PACKARD, PROBOOK 445 14 INCH G11 RYZEN 3 7335U - OC 148772</v>
      </c>
      <c r="AN77" s="33">
        <v>1</v>
      </c>
      <c r="AO77" s="33" t="str">
        <v>5CD53276QZ</v>
      </c>
    </row>
    <row r="78" spans="1:41" ht="116" x14ac:dyDescent="0.35">
      <c r="A78" s="34" t="s">
        <v>1042</v>
      </c>
      <c r="B78" s="34">
        <v>2994</v>
      </c>
      <c r="C78" s="34" t="s">
        <v>574</v>
      </c>
      <c r="D78" s="34" t="s">
        <v>575</v>
      </c>
      <c r="E78" s="34">
        <v>17380</v>
      </c>
      <c r="F78" s="34" t="s">
        <v>423</v>
      </c>
      <c r="G78" s="35">
        <v>117380000185</v>
      </c>
      <c r="H78" s="34" t="s">
        <v>815</v>
      </c>
      <c r="I78" s="34">
        <v>117380000185</v>
      </c>
      <c r="J78" s="34" t="s">
        <v>422</v>
      </c>
      <c r="K78" s="34" t="s">
        <v>577</v>
      </c>
      <c r="L78" s="34">
        <v>1</v>
      </c>
      <c r="M78" s="36" t="s">
        <v>726</v>
      </c>
      <c r="N78" s="34" t="s">
        <v>1060</v>
      </c>
      <c r="O78" s="34">
        <v>1054561133</v>
      </c>
      <c r="P78" s="34" t="s">
        <v>580</v>
      </c>
      <c r="Q78" s="34" t="s">
        <v>1061</v>
      </c>
      <c r="R78" s="34">
        <v>3113830915</v>
      </c>
      <c r="S78" s="34" t="s">
        <v>741</v>
      </c>
      <c r="T78" s="34">
        <v>1054556895</v>
      </c>
      <c r="U78" s="34" t="s">
        <v>604</v>
      </c>
      <c r="V78" s="34" t="s">
        <v>672</v>
      </c>
      <c r="W78" s="34" t="s">
        <v>1062</v>
      </c>
      <c r="X78" s="34" t="s">
        <v>1063</v>
      </c>
      <c r="Y78" s="34"/>
      <c r="Z78" s="34" t="s">
        <v>1064</v>
      </c>
      <c r="AA78" s="34">
        <v>16</v>
      </c>
      <c r="AB78" s="34" t="s">
        <v>598</v>
      </c>
      <c r="AC78" s="34">
        <v>11</v>
      </c>
      <c r="AD78" s="34" t="s">
        <v>1065</v>
      </c>
      <c r="AE78" s="34"/>
      <c r="AF78" s="34" t="s">
        <v>590</v>
      </c>
      <c r="AG78" s="38" cm="1">
        <f t="array" ref="AG78:AO78">_xlfn.LET(_xlpm.n,COUNTIFS($B$2:$B78,$B78,$M$2:$M78,$M78),_xlpm.res,IF($M78=1,_xlfn._xlws.FILTER('TABLETAS ESTUDIANTES'!$C$2:$K$1000,'TABLETAS ESTUDIANTES'!$B$2:$B$1000=$B78),_xlfn._xlws.FILTER('PORTATIL ESTUDIANTES'!$C$2:$K$1000,'PORTATIL ESTUDIANTES'!$B$2:$B$1000=$B78)),IFERROR(INDEX(_xlpm.res,_xlpm.n,_xlfn.SEQUENCE(1,9)),""))</f>
        <v>117380000185</v>
      </c>
      <c r="AH78" s="33" t="str">
        <v>INSTITUCION EDUCATIVA MARCO FIDEL SUAREZ - SEDE PRINCIPAL</v>
      </c>
      <c r="AI78" s="33" t="str">
        <v>La Dorada</v>
      </c>
      <c r="AJ78" s="33" t="str">
        <v>ENTIDAD TERRITORIAL</v>
      </c>
      <c r="AK78" s="33" t="str">
        <v>COMITÉ DE FOCALIZACION 2026</v>
      </c>
      <c r="AL78" s="33">
        <v>45030</v>
      </c>
      <c r="AM78" s="33" t="str">
        <v>PORTÁTIL 14" HEWLETT PACKARD, PROBOOK 445 14 INCH G11 RYZEN 3 7335U - OC 148772</v>
      </c>
      <c r="AN78" s="33">
        <v>1</v>
      </c>
      <c r="AO78" s="33" t="str">
        <v>5CD5320L6M</v>
      </c>
    </row>
    <row r="79" spans="1:41" ht="116" x14ac:dyDescent="0.35">
      <c r="A79" s="34" t="s">
        <v>1042</v>
      </c>
      <c r="B79" s="34">
        <v>2994</v>
      </c>
      <c r="C79" s="34" t="s">
        <v>574</v>
      </c>
      <c r="D79" s="34" t="s">
        <v>575</v>
      </c>
      <c r="E79" s="34">
        <v>17380</v>
      </c>
      <c r="F79" s="34" t="s">
        <v>423</v>
      </c>
      <c r="G79" s="35">
        <v>117380000185</v>
      </c>
      <c r="H79" s="34" t="s">
        <v>815</v>
      </c>
      <c r="I79" s="34">
        <v>117380000185</v>
      </c>
      <c r="J79" s="34" t="s">
        <v>422</v>
      </c>
      <c r="K79" s="34" t="s">
        <v>577</v>
      </c>
      <c r="L79" s="34">
        <v>1</v>
      </c>
      <c r="M79" s="36" t="s">
        <v>726</v>
      </c>
      <c r="N79" s="34" t="s">
        <v>1066</v>
      </c>
      <c r="O79" s="34">
        <v>1020741028</v>
      </c>
      <c r="P79" s="34" t="s">
        <v>580</v>
      </c>
      <c r="Q79" s="34" t="s">
        <v>1067</v>
      </c>
      <c r="R79" s="34">
        <v>3146777657</v>
      </c>
      <c r="S79" s="34" t="s">
        <v>741</v>
      </c>
      <c r="T79" s="34">
        <v>1058199953</v>
      </c>
      <c r="U79" s="34" t="s">
        <v>612</v>
      </c>
      <c r="V79" s="34" t="s">
        <v>753</v>
      </c>
      <c r="W79" s="34" t="s">
        <v>1006</v>
      </c>
      <c r="X79" s="34" t="s">
        <v>1068</v>
      </c>
      <c r="Y79" s="34"/>
      <c r="Z79" s="37">
        <v>40125</v>
      </c>
      <c r="AA79" s="34">
        <v>17</v>
      </c>
      <c r="AB79" s="34" t="s">
        <v>598</v>
      </c>
      <c r="AC79" s="34">
        <v>11</v>
      </c>
      <c r="AD79" s="34" t="s">
        <v>1069</v>
      </c>
      <c r="AE79" s="34"/>
      <c r="AF79" s="34" t="s">
        <v>590</v>
      </c>
      <c r="AG79" s="38" cm="1">
        <f t="array" ref="AG79:AO79">_xlfn.LET(_xlpm.n,COUNTIFS($B$2:$B79,$B79,$M$2:$M79,$M79),_xlpm.res,IF($M79=1,_xlfn._xlws.FILTER('TABLETAS ESTUDIANTES'!$C$2:$K$1000,'TABLETAS ESTUDIANTES'!$B$2:$B$1000=$B79),_xlfn._xlws.FILTER('PORTATIL ESTUDIANTES'!$C$2:$K$1000,'PORTATIL ESTUDIANTES'!$B$2:$B$1000=$B79)),IFERROR(INDEX(_xlpm.res,_xlpm.n,_xlfn.SEQUENCE(1,9)),""))</f>
        <v>117380000185</v>
      </c>
      <c r="AH79" s="33" t="str">
        <v>INSTITUCION EDUCATIVA MARCO FIDEL SUAREZ - SEDE PRINCIPAL</v>
      </c>
      <c r="AI79" s="33" t="str">
        <v>La Dorada</v>
      </c>
      <c r="AJ79" s="33" t="str">
        <v>ENTIDAD TERRITORIAL</v>
      </c>
      <c r="AK79" s="33" t="str">
        <v>COMITÉ DE FOCALIZACION 2026</v>
      </c>
      <c r="AL79" s="33">
        <v>45030</v>
      </c>
      <c r="AM79" s="33" t="str">
        <v>PORTÁTIL 14" HEWLETT PACKARD, PROBOOK 445 14 INCH G11 RYZEN 3 7335U - OC 148772</v>
      </c>
      <c r="AN79" s="33">
        <v>1</v>
      </c>
      <c r="AO79" s="33" t="str">
        <v>C50VVLA#ABM</v>
      </c>
    </row>
    <row r="80" spans="1:41" ht="145" x14ac:dyDescent="0.35">
      <c r="A80" s="34" t="s">
        <v>1042</v>
      </c>
      <c r="B80" s="34">
        <v>84723</v>
      </c>
      <c r="C80" s="34" t="s">
        <v>574</v>
      </c>
      <c r="D80" s="34" t="s">
        <v>575</v>
      </c>
      <c r="E80" s="34">
        <v>17541</v>
      </c>
      <c r="F80" s="34" t="s">
        <v>443</v>
      </c>
      <c r="G80" s="35">
        <v>117541000652</v>
      </c>
      <c r="H80" s="34" t="s">
        <v>1070</v>
      </c>
      <c r="I80" s="34">
        <v>117541000652</v>
      </c>
      <c r="J80" s="34" t="s">
        <v>442</v>
      </c>
      <c r="K80" s="34" t="s">
        <v>577</v>
      </c>
      <c r="L80" s="34">
        <v>1</v>
      </c>
      <c r="M80" s="36" t="s">
        <v>726</v>
      </c>
      <c r="N80" s="34" t="s">
        <v>1071</v>
      </c>
      <c r="O80" s="34">
        <v>24870885</v>
      </c>
      <c r="P80" s="34" t="s">
        <v>580</v>
      </c>
      <c r="Q80" s="34" t="s">
        <v>1072</v>
      </c>
      <c r="R80" s="34">
        <v>3145380855</v>
      </c>
      <c r="S80" s="34" t="s">
        <v>741</v>
      </c>
      <c r="T80" s="34">
        <v>1055756947</v>
      </c>
      <c r="U80" s="34" t="s">
        <v>1073</v>
      </c>
      <c r="V80" s="34" t="s">
        <v>691</v>
      </c>
      <c r="W80" s="34" t="s">
        <v>804</v>
      </c>
      <c r="X80" s="34" t="s">
        <v>1074</v>
      </c>
      <c r="Y80" s="34"/>
      <c r="Z80" s="34" t="s">
        <v>1075</v>
      </c>
      <c r="AA80" s="34">
        <v>17</v>
      </c>
      <c r="AB80" s="34" t="s">
        <v>598</v>
      </c>
      <c r="AC80" s="34">
        <v>11</v>
      </c>
      <c r="AD80" s="34" t="s">
        <v>1076</v>
      </c>
      <c r="AE80" s="34"/>
      <c r="AF80" s="34" t="s">
        <v>590</v>
      </c>
      <c r="AG80" s="38" cm="1">
        <f t="array" ref="AG80:AO80">_xlfn.LET(_xlpm.n,COUNTIFS($B$2:$B80,$B80,$M$2:$M80,$M80),_xlpm.res,IF($M80=1,_xlfn._xlws.FILTER('TABLETAS ESTUDIANTES'!$C$2:$K$1000,'TABLETAS ESTUDIANTES'!$B$2:$B$1000=$B80),_xlfn._xlws.FILTER('PORTATIL ESTUDIANTES'!$C$2:$K$1000,'PORTATIL ESTUDIANTES'!$B$2:$B$1000=$B80)),IFERROR(INDEX(_xlpm.res,_xlpm.n,_xlfn.SEQUENCE(1,9)),""))</f>
        <v>117541000652</v>
      </c>
      <c r="AH80" s="33" t="str">
        <v>INSTITUCION EDUCATIVA ESC. NORMAL SUPERIOR DE LA PRESENTACION - SEDE PRINCIPAL</v>
      </c>
      <c r="AI80" s="33" t="str">
        <v>Pensilvania</v>
      </c>
      <c r="AJ80" s="33" t="str">
        <v>ENTIDAD TERRITORIAL</v>
      </c>
      <c r="AK80" s="33" t="str">
        <v>COMITÉ DE FOCALIZACION 2026</v>
      </c>
      <c r="AL80" s="33">
        <v>45030</v>
      </c>
      <c r="AM80" s="33" t="str">
        <v>PORTÁTIL 14" HEWLETT PACKARD, PROBOOK 445 14 INCH G11 RYZEN 3 7335U - OC 148772</v>
      </c>
      <c r="AN80" s="33">
        <v>1</v>
      </c>
      <c r="AO80" s="33" t="str">
        <v>5CD53293K8</v>
      </c>
    </row>
    <row r="81" spans="1:41" ht="145" x14ac:dyDescent="0.35">
      <c r="A81" s="34" t="s">
        <v>1042</v>
      </c>
      <c r="B81" s="34">
        <v>23072</v>
      </c>
      <c r="C81" s="34" t="s">
        <v>574</v>
      </c>
      <c r="D81" s="34" t="s">
        <v>575</v>
      </c>
      <c r="E81" s="34">
        <v>17614</v>
      </c>
      <c r="F81" s="34" t="s">
        <v>445</v>
      </c>
      <c r="G81" s="35">
        <v>117614000753</v>
      </c>
      <c r="H81" s="34" t="s">
        <v>1049</v>
      </c>
      <c r="I81" s="34">
        <v>117614000753</v>
      </c>
      <c r="J81" s="34" t="s">
        <v>419</v>
      </c>
      <c r="K81" s="34" t="s">
        <v>577</v>
      </c>
      <c r="L81" s="34">
        <v>1</v>
      </c>
      <c r="M81" s="36" t="s">
        <v>726</v>
      </c>
      <c r="N81" s="34" t="s">
        <v>1077</v>
      </c>
      <c r="O81" s="34">
        <v>30412905</v>
      </c>
      <c r="P81" s="34" t="s">
        <v>580</v>
      </c>
      <c r="Q81" s="34" t="s">
        <v>1078</v>
      </c>
      <c r="R81" s="34">
        <v>3206854991</v>
      </c>
      <c r="S81" s="34" t="s">
        <v>741</v>
      </c>
      <c r="T81" s="34">
        <v>1018245651</v>
      </c>
      <c r="U81" s="34" t="s">
        <v>1079</v>
      </c>
      <c r="V81" s="34">
        <v>0</v>
      </c>
      <c r="W81" s="34" t="s">
        <v>627</v>
      </c>
      <c r="X81" s="34" t="s">
        <v>1080</v>
      </c>
      <c r="Y81" s="34"/>
      <c r="Z81" s="34" t="s">
        <v>1081</v>
      </c>
      <c r="AA81" s="34">
        <v>17</v>
      </c>
      <c r="AB81" s="34" t="s">
        <v>588</v>
      </c>
      <c r="AC81" s="34">
        <v>11</v>
      </c>
      <c r="AD81" s="34" t="s">
        <v>1082</v>
      </c>
      <c r="AE81" s="34"/>
      <c r="AF81" s="34" t="s">
        <v>590</v>
      </c>
      <c r="AG81" s="38" cm="1">
        <f t="array" ref="AG81:AO81">_xlfn.LET(_xlpm.n,COUNTIFS($B$2:$B81,$B81,$M$2:$M81,$M81),_xlpm.res,IF($M81=1,_xlfn._xlws.FILTER('TABLETAS ESTUDIANTES'!$C$2:$K$1000,'TABLETAS ESTUDIANTES'!$B$2:$B$1000=$B81),_xlfn._xlws.FILTER('PORTATIL ESTUDIANTES'!$C$2:$K$1000,'PORTATIL ESTUDIANTES'!$B$2:$B$1000=$B81)),IFERROR(INDEX(_xlpm.res,_xlpm.n,_xlfn.SEQUENCE(1,9)),""))</f>
        <v>117614000753</v>
      </c>
      <c r="AH81" s="33" t="str">
        <v>INSTITUCION EDUCATIVA ESCUELA NORMAL SUPERIOR SAGRADO CORAZON - SEDE PRINCIPAL</v>
      </c>
      <c r="AI81" s="33" t="str">
        <v>Riosucio</v>
      </c>
      <c r="AJ81" s="33" t="str">
        <v>ENTIDAD TERRITORIAL</v>
      </c>
      <c r="AK81" s="33" t="str">
        <v>COMITÉ DE FOCALIZACION 2026</v>
      </c>
      <c r="AL81" s="33">
        <v>45030</v>
      </c>
      <c r="AM81" s="33" t="str">
        <v>PORTÁTIL 14" HEWLETT PACKARD, PROBOOK 445 14 INCH G11 RYZEN 3 7335U - OC 148772</v>
      </c>
      <c r="AN81" s="33">
        <v>1</v>
      </c>
      <c r="AO81" s="33" t="str">
        <v>5CD5327711</v>
      </c>
    </row>
    <row r="82" spans="1:41" ht="145" x14ac:dyDescent="0.35">
      <c r="A82" s="34" t="s">
        <v>1042</v>
      </c>
      <c r="B82" s="34">
        <v>23072</v>
      </c>
      <c r="C82" s="34" t="s">
        <v>574</v>
      </c>
      <c r="D82" s="34" t="s">
        <v>575</v>
      </c>
      <c r="E82" s="34">
        <v>17614</v>
      </c>
      <c r="F82" s="34" t="s">
        <v>445</v>
      </c>
      <c r="G82" s="35">
        <v>117614000753</v>
      </c>
      <c r="H82" s="34" t="s">
        <v>1049</v>
      </c>
      <c r="I82" s="34">
        <v>117614000753</v>
      </c>
      <c r="J82" s="34" t="s">
        <v>419</v>
      </c>
      <c r="K82" s="34" t="s">
        <v>577</v>
      </c>
      <c r="L82" s="34">
        <v>1</v>
      </c>
      <c r="M82" s="36" t="s">
        <v>726</v>
      </c>
      <c r="N82" s="34" t="s">
        <v>1083</v>
      </c>
      <c r="O82" s="34">
        <v>1059699748</v>
      </c>
      <c r="P82" s="34" t="s">
        <v>649</v>
      </c>
      <c r="Q82" s="34" t="s">
        <v>1084</v>
      </c>
      <c r="R82" s="34">
        <v>3115352465</v>
      </c>
      <c r="S82" s="34" t="s">
        <v>741</v>
      </c>
      <c r="T82" s="34">
        <v>1059702870</v>
      </c>
      <c r="U82" s="34" t="s">
        <v>652</v>
      </c>
      <c r="V82" s="34">
        <v>0</v>
      </c>
      <c r="W82" s="34" t="s">
        <v>1085</v>
      </c>
      <c r="X82" s="34" t="s">
        <v>1086</v>
      </c>
      <c r="Y82" s="34"/>
      <c r="Z82" s="37">
        <v>39936</v>
      </c>
      <c r="AA82" s="34">
        <v>17</v>
      </c>
      <c r="AB82" s="34" t="s">
        <v>588</v>
      </c>
      <c r="AC82" s="34">
        <v>11</v>
      </c>
      <c r="AD82" s="34" t="s">
        <v>1087</v>
      </c>
      <c r="AE82" s="34"/>
      <c r="AF82" s="34" t="s">
        <v>590</v>
      </c>
      <c r="AG82" s="38" cm="1">
        <f t="array" ref="AG82:AO82">_xlfn.LET(_xlpm.n,COUNTIFS($B$2:$B82,$B82,$M$2:$M82,$M82),_xlpm.res,IF($M82=1,_xlfn._xlws.FILTER('TABLETAS ESTUDIANTES'!$C$2:$K$1000,'TABLETAS ESTUDIANTES'!$B$2:$B$1000=$B82),_xlfn._xlws.FILTER('PORTATIL ESTUDIANTES'!$C$2:$K$1000,'PORTATIL ESTUDIANTES'!$B$2:$B$1000=$B82)),IFERROR(INDEX(_xlpm.res,_xlpm.n,_xlfn.SEQUENCE(1,9)),""))</f>
        <v>117614000753</v>
      </c>
      <c r="AH82" s="33" t="str">
        <v>INSTITUCION EDUCATIVA ESCUELA NORMAL SUPERIOR SAGRADO CORAZON - SEDE PRINCIPAL</v>
      </c>
      <c r="AI82" s="33" t="str">
        <v>Riosucio</v>
      </c>
      <c r="AJ82" s="33" t="str">
        <v>ENTIDAD TERRITORIAL</v>
      </c>
      <c r="AK82" s="33" t="str">
        <v>COMITÉ DE FOCALIZACION 2026</v>
      </c>
      <c r="AL82" s="33">
        <v>45030</v>
      </c>
      <c r="AM82" s="33" t="str">
        <v>PORTÁTIL 14" HEWLETT PACKARD, PROBOOK 445 14 INCH G11 RYZEN 3 7335U - OC 148772</v>
      </c>
      <c r="AN82" s="33">
        <v>1</v>
      </c>
      <c r="AO82" s="33" t="str">
        <v>5CD532766P</v>
      </c>
    </row>
    <row r="83" spans="1:41" ht="145" x14ac:dyDescent="0.35">
      <c r="A83" s="34" t="s">
        <v>1042</v>
      </c>
      <c r="B83" s="34">
        <v>23072</v>
      </c>
      <c r="C83" s="34" t="s">
        <v>574</v>
      </c>
      <c r="D83" s="34" t="s">
        <v>575</v>
      </c>
      <c r="E83" s="34">
        <v>17614</v>
      </c>
      <c r="F83" s="34" t="s">
        <v>445</v>
      </c>
      <c r="G83" s="35">
        <v>117614000753</v>
      </c>
      <c r="H83" s="34" t="s">
        <v>1049</v>
      </c>
      <c r="I83" s="34">
        <v>117614000753</v>
      </c>
      <c r="J83" s="34" t="s">
        <v>419</v>
      </c>
      <c r="K83" s="34" t="s">
        <v>577</v>
      </c>
      <c r="L83" s="34">
        <v>1</v>
      </c>
      <c r="M83" s="36" t="s">
        <v>726</v>
      </c>
      <c r="N83" s="34" t="s">
        <v>1088</v>
      </c>
      <c r="O83" s="34">
        <v>1059699062</v>
      </c>
      <c r="P83" s="34" t="s">
        <v>580</v>
      </c>
      <c r="Q83" s="34" t="s">
        <v>1089</v>
      </c>
      <c r="R83" s="34">
        <v>3108241165</v>
      </c>
      <c r="S83" s="34" t="s">
        <v>741</v>
      </c>
      <c r="T83" s="34">
        <v>1059703500</v>
      </c>
      <c r="U83" s="34" t="s">
        <v>927</v>
      </c>
      <c r="V83" s="34" t="s">
        <v>1011</v>
      </c>
      <c r="W83" s="34" t="s">
        <v>819</v>
      </c>
      <c r="X83" s="34" t="s">
        <v>1090</v>
      </c>
      <c r="Y83" s="34"/>
      <c r="Z83" s="34" t="s">
        <v>1091</v>
      </c>
      <c r="AA83" s="34">
        <v>17</v>
      </c>
      <c r="AB83" s="34" t="s">
        <v>598</v>
      </c>
      <c r="AC83" s="34">
        <v>11</v>
      </c>
      <c r="AD83" s="34" t="s">
        <v>1092</v>
      </c>
      <c r="AE83" s="34"/>
      <c r="AF83" s="34" t="s">
        <v>590</v>
      </c>
      <c r="AG83" s="38" cm="1">
        <f t="array" ref="AG83:AO83">_xlfn.LET(_xlpm.n,COUNTIFS($B$2:$B83,$B83,$M$2:$M83,$M83),_xlpm.res,IF($M83=1,_xlfn._xlws.FILTER('TABLETAS ESTUDIANTES'!$C$2:$K$1000,'TABLETAS ESTUDIANTES'!$B$2:$B$1000=$B83),_xlfn._xlws.FILTER('PORTATIL ESTUDIANTES'!$C$2:$K$1000,'PORTATIL ESTUDIANTES'!$B$2:$B$1000=$B83)),IFERROR(INDEX(_xlpm.res,_xlpm.n,_xlfn.SEQUENCE(1,9)),""))</f>
        <v>117614000753</v>
      </c>
      <c r="AH83" s="33" t="str">
        <v>INSTITUCION EDUCATIVA ESCUELA NORMAL SUPERIOR SAGRADO CORAZON - SEDE PRINCIPAL</v>
      </c>
      <c r="AI83" s="33" t="str">
        <v>Riosucio</v>
      </c>
      <c r="AJ83" s="33" t="str">
        <v>ENTIDAD TERRITORIAL</v>
      </c>
      <c r="AK83" s="33" t="str">
        <v>COMITÉ DE FOCALIZACION 2026</v>
      </c>
      <c r="AL83" s="33">
        <v>45030</v>
      </c>
      <c r="AM83" s="33" t="str">
        <v>PORTÁTIL 14" HEWLETT PACKARD, PROBOOK 445 14 INCH G11 RYZEN 3 7335U - OC 148772</v>
      </c>
      <c r="AN83" s="33">
        <v>1</v>
      </c>
      <c r="AO83" s="33" t="str">
        <v>5CD5320M5Q</v>
      </c>
    </row>
    <row r="84" spans="1:41" ht="145" x14ac:dyDescent="0.35">
      <c r="A84" s="34" t="s">
        <v>1042</v>
      </c>
      <c r="B84" s="34">
        <v>23072</v>
      </c>
      <c r="C84" s="34" t="s">
        <v>574</v>
      </c>
      <c r="D84" s="34" t="s">
        <v>575</v>
      </c>
      <c r="E84" s="34">
        <v>17614</v>
      </c>
      <c r="F84" s="34" t="s">
        <v>445</v>
      </c>
      <c r="G84" s="35">
        <v>117614000753</v>
      </c>
      <c r="H84" s="34" t="s">
        <v>1049</v>
      </c>
      <c r="I84" s="34">
        <v>117614000753</v>
      </c>
      <c r="J84" s="34" t="s">
        <v>419</v>
      </c>
      <c r="K84" s="34" t="s">
        <v>577</v>
      </c>
      <c r="L84" s="34">
        <v>1</v>
      </c>
      <c r="M84" s="36" t="s">
        <v>726</v>
      </c>
      <c r="N84" s="34" t="s">
        <v>1093</v>
      </c>
      <c r="O84" s="34">
        <v>30414952</v>
      </c>
      <c r="P84" s="34" t="s">
        <v>580</v>
      </c>
      <c r="Q84" s="34" t="s">
        <v>1094</v>
      </c>
      <c r="R84" s="34">
        <v>3146889624</v>
      </c>
      <c r="S84" s="34" t="s">
        <v>741</v>
      </c>
      <c r="T84" s="34">
        <v>1059703575</v>
      </c>
      <c r="U84" s="34" t="s">
        <v>776</v>
      </c>
      <c r="V84" s="34">
        <v>0</v>
      </c>
      <c r="W84" s="34" t="s">
        <v>1095</v>
      </c>
      <c r="X84" s="34" t="s">
        <v>1096</v>
      </c>
      <c r="Y84" s="34"/>
      <c r="Z84" s="37">
        <v>40034</v>
      </c>
      <c r="AA84" s="34">
        <v>17</v>
      </c>
      <c r="AB84" s="34" t="s">
        <v>598</v>
      </c>
      <c r="AC84" s="34">
        <v>11</v>
      </c>
      <c r="AD84" s="34" t="s">
        <v>1097</v>
      </c>
      <c r="AE84" s="34"/>
      <c r="AF84" s="34" t="s">
        <v>590</v>
      </c>
      <c r="AG84" s="38" cm="1">
        <f t="array" ref="AG84:AO84">_xlfn.LET(_xlpm.n,COUNTIFS($B$2:$B84,$B84,$M$2:$M84,$M84),_xlpm.res,IF($M84=1,_xlfn._xlws.FILTER('TABLETAS ESTUDIANTES'!$C$2:$K$1000,'TABLETAS ESTUDIANTES'!$B$2:$B$1000=$B84),_xlfn._xlws.FILTER('PORTATIL ESTUDIANTES'!$C$2:$K$1000,'PORTATIL ESTUDIANTES'!$B$2:$B$1000=$B84)),IFERROR(INDEX(_xlpm.res,_xlpm.n,_xlfn.SEQUENCE(1,9)),""))</f>
        <v>117614000753</v>
      </c>
      <c r="AH84" s="33" t="str">
        <v>INSTITUCION EDUCATIVA ESCUELA NORMAL SUPERIOR SAGRADO CORAZON - SEDE PRINCIPAL</v>
      </c>
      <c r="AI84" s="33" t="str">
        <v>Riosucio</v>
      </c>
      <c r="AJ84" s="33" t="str">
        <v>ENTIDAD TERRITORIAL</v>
      </c>
      <c r="AK84" s="33" t="str">
        <v>COMITÉ DE FOCALIZACION 2026</v>
      </c>
      <c r="AL84" s="33">
        <v>45030</v>
      </c>
      <c r="AM84" s="33" t="str">
        <v>PORTÁTIL 14" HEWLETT PACKARD, PROBOOK 445 14 INCH G11 RYZEN 3 7335U - OC 148772</v>
      </c>
      <c r="AN84" s="33">
        <v>1</v>
      </c>
      <c r="AO84" s="33" t="str">
        <v>5CD5320L7N</v>
      </c>
    </row>
    <row r="85" spans="1:41" ht="145" x14ac:dyDescent="0.35">
      <c r="A85" s="34" t="s">
        <v>1042</v>
      </c>
      <c r="B85" s="34">
        <v>23072</v>
      </c>
      <c r="C85" s="34" t="s">
        <v>574</v>
      </c>
      <c r="D85" s="34" t="s">
        <v>575</v>
      </c>
      <c r="E85" s="34">
        <v>17614</v>
      </c>
      <c r="F85" s="34" t="s">
        <v>445</v>
      </c>
      <c r="G85" s="35">
        <v>117614000753</v>
      </c>
      <c r="H85" s="34" t="s">
        <v>1049</v>
      </c>
      <c r="I85" s="34">
        <v>117614000753</v>
      </c>
      <c r="J85" s="34" t="s">
        <v>419</v>
      </c>
      <c r="K85" s="34" t="s">
        <v>577</v>
      </c>
      <c r="L85" s="34">
        <v>1</v>
      </c>
      <c r="M85" s="36" t="s">
        <v>726</v>
      </c>
      <c r="N85" s="34" t="s">
        <v>1098</v>
      </c>
      <c r="O85" s="34">
        <v>1059698447</v>
      </c>
      <c r="P85" s="34" t="s">
        <v>580</v>
      </c>
      <c r="Q85" s="34" t="s">
        <v>1099</v>
      </c>
      <c r="R85" s="34">
        <v>3155289677</v>
      </c>
      <c r="S85" s="34" t="s">
        <v>741</v>
      </c>
      <c r="T85" s="34">
        <v>1059704036</v>
      </c>
      <c r="U85" s="34" t="s">
        <v>604</v>
      </c>
      <c r="V85" s="34" t="s">
        <v>605</v>
      </c>
      <c r="W85" s="34" t="s">
        <v>1100</v>
      </c>
      <c r="X85" s="34" t="s">
        <v>1101</v>
      </c>
      <c r="Y85" s="34"/>
      <c r="Z85" s="34" t="s">
        <v>960</v>
      </c>
      <c r="AA85" s="34">
        <v>16</v>
      </c>
      <c r="AB85" s="34" t="s">
        <v>588</v>
      </c>
      <c r="AC85" s="34">
        <v>11</v>
      </c>
      <c r="AD85" s="34" t="s">
        <v>1102</v>
      </c>
      <c r="AE85" s="34"/>
      <c r="AF85" s="34" t="s">
        <v>590</v>
      </c>
      <c r="AG85" s="38" cm="1">
        <f t="array" ref="AG85:AO85">_xlfn.LET(_xlpm.n,COUNTIFS($B$2:$B85,$B85,$M$2:$M85,$M85),_xlpm.res,IF($M85=1,_xlfn._xlws.FILTER('TABLETAS ESTUDIANTES'!$C$2:$K$1000,'TABLETAS ESTUDIANTES'!$B$2:$B$1000=$B85),_xlfn._xlws.FILTER('PORTATIL ESTUDIANTES'!$C$2:$K$1000,'PORTATIL ESTUDIANTES'!$B$2:$B$1000=$B85)),IFERROR(INDEX(_xlpm.res,_xlpm.n,_xlfn.SEQUENCE(1,9)),""))</f>
        <v>117614000753</v>
      </c>
      <c r="AH85" s="33" t="str">
        <v>INSTITUCION EDUCATIVA ESCUELA NORMAL SUPERIOR SAGRADO CORAZON - SEDE PRINCIPAL</v>
      </c>
      <c r="AI85" s="33" t="str">
        <v>Riosucio</v>
      </c>
      <c r="AJ85" s="33" t="str">
        <v>ENTIDAD TERRITORIAL</v>
      </c>
      <c r="AK85" s="33" t="str">
        <v>COMITÉ DE FOCALIZACION 2026</v>
      </c>
      <c r="AL85" s="33">
        <v>45030</v>
      </c>
      <c r="AM85" s="33" t="str">
        <v>PORTÁTIL 14" HEWLETT PACKARD, PROBOOK 445 14 INCH G11 RYZEN 3 7335U - OC 148772</v>
      </c>
      <c r="AN85" s="33">
        <v>1</v>
      </c>
      <c r="AO85" s="33" t="str">
        <v>5CD5328V1J</v>
      </c>
    </row>
    <row r="86" spans="1:41" ht="145" x14ac:dyDescent="0.35">
      <c r="A86" s="34" t="s">
        <v>1042</v>
      </c>
      <c r="B86" s="34">
        <v>23072</v>
      </c>
      <c r="C86" s="34" t="s">
        <v>574</v>
      </c>
      <c r="D86" s="34" t="s">
        <v>575</v>
      </c>
      <c r="E86" s="34">
        <v>17614</v>
      </c>
      <c r="F86" s="34" t="s">
        <v>445</v>
      </c>
      <c r="G86" s="35">
        <v>117614000753</v>
      </c>
      <c r="H86" s="34" t="s">
        <v>1049</v>
      </c>
      <c r="I86" s="34">
        <v>117614000753</v>
      </c>
      <c r="J86" s="34" t="s">
        <v>419</v>
      </c>
      <c r="K86" s="34" t="s">
        <v>577</v>
      </c>
      <c r="L86" s="34">
        <v>1</v>
      </c>
      <c r="M86" s="36" t="s">
        <v>726</v>
      </c>
      <c r="N86" s="34" t="s">
        <v>1103</v>
      </c>
      <c r="O86" s="34">
        <v>30384269</v>
      </c>
      <c r="P86" s="34" t="s">
        <v>580</v>
      </c>
      <c r="Q86" s="34" t="s">
        <v>1104</v>
      </c>
      <c r="R86" s="34">
        <v>3134199789</v>
      </c>
      <c r="S86" s="34" t="s">
        <v>741</v>
      </c>
      <c r="T86" s="34">
        <v>1059704234</v>
      </c>
      <c r="U86" s="34" t="s">
        <v>1105</v>
      </c>
      <c r="V86" s="34" t="s">
        <v>1106</v>
      </c>
      <c r="W86" s="34" t="s">
        <v>679</v>
      </c>
      <c r="X86" s="34" t="s">
        <v>698</v>
      </c>
      <c r="Y86" s="34"/>
      <c r="Z86" s="37">
        <v>40485</v>
      </c>
      <c r="AA86" s="34">
        <v>16</v>
      </c>
      <c r="AB86" s="34" t="s">
        <v>588</v>
      </c>
      <c r="AC86" s="34">
        <v>11</v>
      </c>
      <c r="AD86" s="34" t="s">
        <v>1107</v>
      </c>
      <c r="AE86" s="34"/>
      <c r="AF86" s="34" t="s">
        <v>590</v>
      </c>
      <c r="AG86" s="38" cm="1">
        <f t="array" ref="AG86:AO86">_xlfn.LET(_xlpm.n,COUNTIFS($B$2:$B86,$B86,$M$2:$M86,$M86),_xlpm.res,IF($M86=1,_xlfn._xlws.FILTER('TABLETAS ESTUDIANTES'!$C$2:$K$1000,'TABLETAS ESTUDIANTES'!$B$2:$B$1000=$B86),_xlfn._xlws.FILTER('PORTATIL ESTUDIANTES'!$C$2:$K$1000,'PORTATIL ESTUDIANTES'!$B$2:$B$1000=$B86)),IFERROR(INDEX(_xlpm.res,_xlpm.n,_xlfn.SEQUENCE(1,9)),""))</f>
        <v>117614000753</v>
      </c>
      <c r="AH86" s="33" t="str">
        <v>INSTITUCION EDUCATIVA ESCUELA NORMAL SUPERIOR SAGRADO CORAZON - SEDE PRINCIPAL</v>
      </c>
      <c r="AI86" s="33" t="str">
        <v>Riosucio</v>
      </c>
      <c r="AJ86" s="33" t="str">
        <v>ENTIDAD TERRITORIAL</v>
      </c>
      <c r="AK86" s="33" t="str">
        <v>COMITÉ DE FOCALIZACION 2026</v>
      </c>
      <c r="AL86" s="33">
        <v>45030</v>
      </c>
      <c r="AM86" s="33" t="str">
        <v>PORTÁTIL 14" HEWLETT PACKARD, PROBOOK 445 14 INCH G11 RYZEN 3 7335U - OC 148772</v>
      </c>
      <c r="AN86" s="33">
        <v>1</v>
      </c>
      <c r="AO86" s="33" t="str">
        <v>5CD53276VR</v>
      </c>
    </row>
    <row r="87" spans="1:41" ht="145" x14ac:dyDescent="0.35">
      <c r="A87" s="34" t="s">
        <v>1042</v>
      </c>
      <c r="B87" s="34">
        <v>23072</v>
      </c>
      <c r="C87" s="34" t="s">
        <v>574</v>
      </c>
      <c r="D87" s="34" t="s">
        <v>575</v>
      </c>
      <c r="E87" s="34">
        <v>17614</v>
      </c>
      <c r="F87" s="34" t="s">
        <v>445</v>
      </c>
      <c r="G87" s="35">
        <v>117614000753</v>
      </c>
      <c r="H87" s="34" t="s">
        <v>1049</v>
      </c>
      <c r="I87" s="34">
        <v>117614000753</v>
      </c>
      <c r="J87" s="34" t="s">
        <v>419</v>
      </c>
      <c r="K87" s="34" t="s">
        <v>577</v>
      </c>
      <c r="L87" s="34">
        <v>1</v>
      </c>
      <c r="M87" s="36" t="s">
        <v>726</v>
      </c>
      <c r="N87" s="34" t="s">
        <v>1108</v>
      </c>
      <c r="O87" s="34">
        <v>1059703568</v>
      </c>
      <c r="P87" s="34" t="s">
        <v>580</v>
      </c>
      <c r="Q87" s="34" t="s">
        <v>1109</v>
      </c>
      <c r="R87" s="34">
        <v>3044223572</v>
      </c>
      <c r="S87" s="34" t="s">
        <v>741</v>
      </c>
      <c r="T87" s="34">
        <v>1060536474</v>
      </c>
      <c r="U87" s="34" t="s">
        <v>946</v>
      </c>
      <c r="V87" s="34">
        <v>0</v>
      </c>
      <c r="W87" s="34" t="s">
        <v>1110</v>
      </c>
      <c r="X87" s="34" t="s">
        <v>1101</v>
      </c>
      <c r="Y87" s="34"/>
      <c r="Z87" s="37">
        <v>39884</v>
      </c>
      <c r="AA87" s="34">
        <v>16</v>
      </c>
      <c r="AB87" s="34" t="s">
        <v>598</v>
      </c>
      <c r="AC87" s="34">
        <v>11</v>
      </c>
      <c r="AD87" s="34" t="s">
        <v>1111</v>
      </c>
      <c r="AE87" s="34"/>
      <c r="AF87" s="34" t="s">
        <v>590</v>
      </c>
      <c r="AG87" s="38" cm="1">
        <f t="array" ref="AG87:AO87">_xlfn.LET(_xlpm.n,COUNTIFS($B$2:$B87,$B87,$M$2:$M87,$M87),_xlpm.res,IF($M87=1,_xlfn._xlws.FILTER('TABLETAS ESTUDIANTES'!$C$2:$K$1000,'TABLETAS ESTUDIANTES'!$B$2:$B$1000=$B87),_xlfn._xlws.FILTER('PORTATIL ESTUDIANTES'!$C$2:$K$1000,'PORTATIL ESTUDIANTES'!$B$2:$B$1000=$B87)),IFERROR(INDEX(_xlpm.res,_xlpm.n,_xlfn.SEQUENCE(1,9)),""))</f>
        <v>117614000753</v>
      </c>
      <c r="AH87" s="33" t="str">
        <v>INSTITUCION EDUCATIVA ESCUELA NORMAL SUPERIOR SAGRADO CORAZON - SEDE PRINCIPAL</v>
      </c>
      <c r="AI87" s="33" t="str">
        <v>Riosucio</v>
      </c>
      <c r="AJ87" s="33" t="str">
        <v>ENTIDAD TERRITORIAL</v>
      </c>
      <c r="AK87" s="33" t="str">
        <v>COMITÉ DE FOCALIZACION 2026</v>
      </c>
      <c r="AL87" s="33">
        <v>45030</v>
      </c>
      <c r="AM87" s="33" t="str">
        <v>PORTÁTIL 14" HEWLETT PACKARD, PROBOOK 445 14 INCH G11 RYZEN 3 7335U - OC 148772</v>
      </c>
      <c r="AN87" s="33">
        <v>1</v>
      </c>
      <c r="AO87" s="33" t="str">
        <v>5CD5320L9W</v>
      </c>
    </row>
    <row r="88" spans="1:41" ht="145" x14ac:dyDescent="0.35">
      <c r="A88" s="34" t="s">
        <v>1042</v>
      </c>
      <c r="B88" s="34">
        <v>23072</v>
      </c>
      <c r="C88" s="34" t="s">
        <v>574</v>
      </c>
      <c r="D88" s="34" t="s">
        <v>575</v>
      </c>
      <c r="E88" s="34">
        <v>17614</v>
      </c>
      <c r="F88" s="34" t="s">
        <v>445</v>
      </c>
      <c r="G88" s="35">
        <v>117614000753</v>
      </c>
      <c r="H88" s="34" t="s">
        <v>1049</v>
      </c>
      <c r="I88" s="34">
        <v>117614000753</v>
      </c>
      <c r="J88" s="34" t="s">
        <v>419</v>
      </c>
      <c r="K88" s="34" t="s">
        <v>577</v>
      </c>
      <c r="L88" s="34">
        <v>1</v>
      </c>
      <c r="M88" s="36" t="s">
        <v>726</v>
      </c>
      <c r="N88" s="34" t="s">
        <v>1112</v>
      </c>
      <c r="O88" s="34">
        <v>65768289</v>
      </c>
      <c r="P88" s="34" t="s">
        <v>580</v>
      </c>
      <c r="Q88" s="34" t="s">
        <v>1113</v>
      </c>
      <c r="R88" s="34">
        <v>3148456563</v>
      </c>
      <c r="S88" s="34" t="s">
        <v>741</v>
      </c>
      <c r="T88" s="34">
        <v>1079097240</v>
      </c>
      <c r="U88" s="34" t="s">
        <v>824</v>
      </c>
      <c r="V88" s="34" t="s">
        <v>711</v>
      </c>
      <c r="W88" s="34" t="s">
        <v>720</v>
      </c>
      <c r="X88" s="34" t="s">
        <v>996</v>
      </c>
      <c r="Y88" s="34"/>
      <c r="Z88" s="34" t="s">
        <v>1114</v>
      </c>
      <c r="AA88" s="34">
        <v>16</v>
      </c>
      <c r="AB88" s="34" t="s">
        <v>588</v>
      </c>
      <c r="AC88" s="34">
        <v>11</v>
      </c>
      <c r="AD88" s="34" t="s">
        <v>1115</v>
      </c>
      <c r="AE88" s="34"/>
      <c r="AF88" s="34" t="s">
        <v>590</v>
      </c>
      <c r="AG88" s="38" cm="1">
        <f t="array" ref="AG88:AO88">_xlfn.LET(_xlpm.n,COUNTIFS($B$2:$B88,$B88,$M$2:$M88,$M88),_xlpm.res,IF($M88=1,_xlfn._xlws.FILTER('TABLETAS ESTUDIANTES'!$C$2:$K$1000,'TABLETAS ESTUDIANTES'!$B$2:$B$1000=$B88),_xlfn._xlws.FILTER('PORTATIL ESTUDIANTES'!$C$2:$K$1000,'PORTATIL ESTUDIANTES'!$B$2:$B$1000=$B88)),IFERROR(INDEX(_xlpm.res,_xlpm.n,_xlfn.SEQUENCE(1,9)),""))</f>
        <v>117614000753</v>
      </c>
      <c r="AH88" s="33" t="str">
        <v>INSTITUCION EDUCATIVA ESCUELA NORMAL SUPERIOR SAGRADO CORAZON - SEDE PRINCIPAL</v>
      </c>
      <c r="AI88" s="33" t="str">
        <v>Riosucio</v>
      </c>
      <c r="AJ88" s="33" t="str">
        <v>ENTIDAD TERRITORIAL</v>
      </c>
      <c r="AK88" s="33" t="str">
        <v>COMITÉ DE FOCALIZACION 2026</v>
      </c>
      <c r="AL88" s="33">
        <v>45030</v>
      </c>
      <c r="AM88" s="33" t="str">
        <v>PORTÁTIL 14" HEWLETT PACKARD, PROBOOK 445 14 INCH G11 RYZEN 3 7335U - OC 148772</v>
      </c>
      <c r="AN88" s="33">
        <v>1</v>
      </c>
      <c r="AO88" s="33" t="str">
        <v>5CD532775B</v>
      </c>
    </row>
  </sheetData>
  <autoFilter ref="A1:AF88" xr:uid="{2EF43712-58DC-4414-8AAE-EC2E19242F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opLeftCell="E1" workbookViewId="0">
      <selection activeCell="M3" sqref="M3"/>
    </sheetView>
  </sheetViews>
  <sheetFormatPr baseColWidth="10" defaultRowHeight="14.5" x14ac:dyDescent="0.35"/>
  <cols>
    <col min="1" max="1" width="4.26953125" bestFit="1" customWidth="1"/>
    <col min="2" max="2" width="7.453125" bestFit="1" customWidth="1"/>
    <col min="3" max="3" width="15.453125" bestFit="1" customWidth="1"/>
    <col min="4" max="4" width="29.81640625" customWidth="1"/>
    <col min="5" max="5" width="11" bestFit="1" customWidth="1"/>
    <col min="6" max="7" width="10.54296875" bestFit="1" customWidth="1"/>
    <col min="8" max="8" width="8.54296875" bestFit="1" customWidth="1"/>
    <col min="9" max="9" width="28.453125" customWidth="1"/>
    <col min="10" max="10" width="7.1796875" bestFit="1" customWidth="1"/>
    <col min="11" max="11" width="10.7265625" bestFit="1" customWidth="1"/>
  </cols>
  <sheetData>
    <row r="1" spans="1:11" ht="48" customHeight="1" x14ac:dyDescent="0.35">
      <c r="A1" s="1" t="s">
        <v>0</v>
      </c>
      <c r="B1" s="1" t="s">
        <v>1</v>
      </c>
      <c r="C1" s="1" t="s">
        <v>413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8" customHeight="1" x14ac:dyDescent="0.35">
      <c r="A2" s="2">
        <v>1</v>
      </c>
      <c r="B2" s="3">
        <v>21878</v>
      </c>
      <c r="C2" s="8">
        <v>117042000650</v>
      </c>
      <c r="D2" s="4" t="s">
        <v>414</v>
      </c>
      <c r="E2" s="2" t="s">
        <v>415</v>
      </c>
      <c r="F2" s="2" t="s">
        <v>13</v>
      </c>
      <c r="G2" s="2" t="s">
        <v>416</v>
      </c>
      <c r="H2" s="5">
        <v>45030</v>
      </c>
      <c r="I2" s="6" t="s">
        <v>417</v>
      </c>
      <c r="J2" s="2">
        <v>1</v>
      </c>
      <c r="K2" s="2" t="s">
        <v>418</v>
      </c>
    </row>
    <row r="3" spans="1:11" ht="58" customHeight="1" x14ac:dyDescent="0.35">
      <c r="A3" s="2">
        <v>2</v>
      </c>
      <c r="B3" s="3">
        <v>1181</v>
      </c>
      <c r="C3" s="8">
        <v>117050000316</v>
      </c>
      <c r="D3" s="4" t="s">
        <v>419</v>
      </c>
      <c r="E3" s="2" t="s">
        <v>420</v>
      </c>
      <c r="F3" s="2" t="s">
        <v>13</v>
      </c>
      <c r="G3" s="2" t="s">
        <v>416</v>
      </c>
      <c r="H3" s="5">
        <v>45030</v>
      </c>
      <c r="I3" s="6" t="s">
        <v>417</v>
      </c>
      <c r="J3" s="2">
        <v>1</v>
      </c>
      <c r="K3" s="2" t="s">
        <v>421</v>
      </c>
    </row>
    <row r="4" spans="1:11" ht="58" customHeight="1" x14ac:dyDescent="0.35">
      <c r="A4" s="2">
        <v>3</v>
      </c>
      <c r="B4" s="3">
        <v>2994</v>
      </c>
      <c r="C4" s="8">
        <v>117380000185</v>
      </c>
      <c r="D4" s="4" t="s">
        <v>422</v>
      </c>
      <c r="E4" s="2" t="s">
        <v>423</v>
      </c>
      <c r="F4" s="2" t="s">
        <v>13</v>
      </c>
      <c r="G4" s="2" t="s">
        <v>416</v>
      </c>
      <c r="H4" s="5">
        <v>45030</v>
      </c>
      <c r="I4" s="6" t="s">
        <v>417</v>
      </c>
      <c r="J4" s="2">
        <v>1</v>
      </c>
      <c r="K4" s="2" t="s">
        <v>424</v>
      </c>
    </row>
    <row r="5" spans="1:11" ht="58" customHeight="1" x14ac:dyDescent="0.35">
      <c r="A5" s="2">
        <v>4</v>
      </c>
      <c r="B5" s="3">
        <v>2994</v>
      </c>
      <c r="C5" s="8">
        <v>117380000185</v>
      </c>
      <c r="D5" s="4" t="s">
        <v>422</v>
      </c>
      <c r="E5" s="2" t="s">
        <v>423</v>
      </c>
      <c r="F5" s="2" t="s">
        <v>13</v>
      </c>
      <c r="G5" s="2" t="s">
        <v>416</v>
      </c>
      <c r="H5" s="5">
        <v>45030</v>
      </c>
      <c r="I5" s="6" t="s">
        <v>417</v>
      </c>
      <c r="J5" s="2">
        <v>1</v>
      </c>
      <c r="K5" s="2" t="s">
        <v>425</v>
      </c>
    </row>
    <row r="6" spans="1:11" ht="58" customHeight="1" x14ac:dyDescent="0.35">
      <c r="A6" s="2">
        <v>5</v>
      </c>
      <c r="B6" s="3">
        <v>2994</v>
      </c>
      <c r="C6" s="8">
        <v>117380000185</v>
      </c>
      <c r="D6" s="4" t="s">
        <v>422</v>
      </c>
      <c r="E6" s="2" t="s">
        <v>423</v>
      </c>
      <c r="F6" s="2" t="s">
        <v>13</v>
      </c>
      <c r="G6" s="2" t="s">
        <v>416</v>
      </c>
      <c r="H6" s="5">
        <v>45030</v>
      </c>
      <c r="I6" s="6" t="s">
        <v>417</v>
      </c>
      <c r="J6" s="2">
        <v>1</v>
      </c>
      <c r="K6" s="2" t="s">
        <v>426</v>
      </c>
    </row>
    <row r="7" spans="1:11" ht="58" customHeight="1" x14ac:dyDescent="0.35">
      <c r="A7" s="2">
        <v>6</v>
      </c>
      <c r="B7" s="3">
        <v>9089</v>
      </c>
      <c r="C7" s="8">
        <v>217444000138</v>
      </c>
      <c r="D7" s="4" t="s">
        <v>427</v>
      </c>
      <c r="E7" s="2" t="s">
        <v>428</v>
      </c>
      <c r="F7" s="2" t="s">
        <v>13</v>
      </c>
      <c r="G7" s="2" t="s">
        <v>416</v>
      </c>
      <c r="H7" s="5">
        <v>45030</v>
      </c>
      <c r="I7" s="6" t="s">
        <v>417</v>
      </c>
      <c r="J7" s="2">
        <v>1</v>
      </c>
      <c r="K7" s="2" t="s">
        <v>429</v>
      </c>
    </row>
    <row r="8" spans="1:11" ht="58" customHeight="1" x14ac:dyDescent="0.35">
      <c r="A8" s="2">
        <v>7</v>
      </c>
      <c r="B8" s="3">
        <v>9089</v>
      </c>
      <c r="C8" s="8">
        <v>217444000138</v>
      </c>
      <c r="D8" s="4" t="s">
        <v>427</v>
      </c>
      <c r="E8" s="2" t="s">
        <v>428</v>
      </c>
      <c r="F8" s="2" t="s">
        <v>13</v>
      </c>
      <c r="G8" s="2" t="s">
        <v>416</v>
      </c>
      <c r="H8" s="5">
        <v>45030</v>
      </c>
      <c r="I8" s="6" t="s">
        <v>417</v>
      </c>
      <c r="J8" s="2">
        <v>1</v>
      </c>
      <c r="K8" s="2" t="s">
        <v>430</v>
      </c>
    </row>
    <row r="9" spans="1:11" ht="58" customHeight="1" x14ac:dyDescent="0.35">
      <c r="A9" s="2">
        <v>8</v>
      </c>
      <c r="B9" s="3">
        <v>21879</v>
      </c>
      <c r="C9" s="8">
        <v>117495005407</v>
      </c>
      <c r="D9" s="4" t="s">
        <v>431</v>
      </c>
      <c r="E9" s="2" t="s">
        <v>432</v>
      </c>
      <c r="F9" s="2" t="s">
        <v>13</v>
      </c>
      <c r="G9" s="2" t="s">
        <v>416</v>
      </c>
      <c r="H9" s="5">
        <v>45030</v>
      </c>
      <c r="I9" s="6" t="s">
        <v>417</v>
      </c>
      <c r="J9" s="2">
        <v>1</v>
      </c>
      <c r="K9" s="2" t="s">
        <v>433</v>
      </c>
    </row>
    <row r="10" spans="1:11" ht="58" customHeight="1" x14ac:dyDescent="0.35">
      <c r="A10" s="2">
        <v>9</v>
      </c>
      <c r="B10" s="3">
        <v>21879</v>
      </c>
      <c r="C10" s="8">
        <v>117495005407</v>
      </c>
      <c r="D10" s="4" t="s">
        <v>431</v>
      </c>
      <c r="E10" s="2" t="s">
        <v>432</v>
      </c>
      <c r="F10" s="2" t="s">
        <v>13</v>
      </c>
      <c r="G10" s="2" t="s">
        <v>416</v>
      </c>
      <c r="H10" s="5">
        <v>45030</v>
      </c>
      <c r="I10" s="6" t="s">
        <v>417</v>
      </c>
      <c r="J10" s="2">
        <v>1</v>
      </c>
      <c r="K10" s="2" t="s">
        <v>434</v>
      </c>
    </row>
    <row r="11" spans="1:11" ht="58" customHeight="1" x14ac:dyDescent="0.35">
      <c r="A11" s="2">
        <v>10</v>
      </c>
      <c r="B11" s="3">
        <v>21879</v>
      </c>
      <c r="C11" s="8">
        <v>117495005407</v>
      </c>
      <c r="D11" s="4" t="s">
        <v>431</v>
      </c>
      <c r="E11" s="2" t="s">
        <v>432</v>
      </c>
      <c r="F11" s="2" t="s">
        <v>13</v>
      </c>
      <c r="G11" s="2" t="s">
        <v>416</v>
      </c>
      <c r="H11" s="5">
        <v>45030</v>
      </c>
      <c r="I11" s="6" t="s">
        <v>417</v>
      </c>
      <c r="J11" s="2">
        <v>1</v>
      </c>
      <c r="K11" s="2" t="s">
        <v>435</v>
      </c>
    </row>
    <row r="12" spans="1:11" ht="58" customHeight="1" x14ac:dyDescent="0.35">
      <c r="A12" s="2">
        <v>11</v>
      </c>
      <c r="B12" s="3">
        <v>21879</v>
      </c>
      <c r="C12" s="8">
        <v>117495005407</v>
      </c>
      <c r="D12" s="4" t="s">
        <v>431</v>
      </c>
      <c r="E12" s="2" t="s">
        <v>432</v>
      </c>
      <c r="F12" s="2" t="s">
        <v>13</v>
      </c>
      <c r="G12" s="2" t="s">
        <v>416</v>
      </c>
      <c r="H12" s="5">
        <v>45030</v>
      </c>
      <c r="I12" s="6" t="s">
        <v>417</v>
      </c>
      <c r="J12" s="2">
        <v>1</v>
      </c>
      <c r="K12" s="2" t="s">
        <v>436</v>
      </c>
    </row>
    <row r="13" spans="1:11" ht="58" customHeight="1" x14ac:dyDescent="0.35">
      <c r="A13" s="2">
        <v>12</v>
      </c>
      <c r="B13" s="3">
        <v>21879</v>
      </c>
      <c r="C13" s="8">
        <v>117495005407</v>
      </c>
      <c r="D13" s="4" t="s">
        <v>431</v>
      </c>
      <c r="E13" s="2" t="s">
        <v>432</v>
      </c>
      <c r="F13" s="2" t="s">
        <v>13</v>
      </c>
      <c r="G13" s="2" t="s">
        <v>416</v>
      </c>
      <c r="H13" s="5">
        <v>45030</v>
      </c>
      <c r="I13" s="6" t="s">
        <v>417</v>
      </c>
      <c r="J13" s="2">
        <v>1</v>
      </c>
      <c r="K13" s="2" t="s">
        <v>437</v>
      </c>
    </row>
    <row r="14" spans="1:11" ht="58" customHeight="1" x14ac:dyDescent="0.35">
      <c r="A14" s="2">
        <v>13</v>
      </c>
      <c r="B14" s="3">
        <v>21879</v>
      </c>
      <c r="C14" s="8">
        <v>117495005407</v>
      </c>
      <c r="D14" s="4" t="s">
        <v>431</v>
      </c>
      <c r="E14" s="2" t="s">
        <v>432</v>
      </c>
      <c r="F14" s="2" t="s">
        <v>13</v>
      </c>
      <c r="G14" s="2" t="s">
        <v>416</v>
      </c>
      <c r="H14" s="5">
        <v>45030</v>
      </c>
      <c r="I14" s="6" t="s">
        <v>417</v>
      </c>
      <c r="J14" s="2">
        <v>1</v>
      </c>
      <c r="K14" s="2" t="s">
        <v>438</v>
      </c>
    </row>
    <row r="15" spans="1:11" ht="58" customHeight="1" x14ac:dyDescent="0.35">
      <c r="A15" s="2">
        <v>14</v>
      </c>
      <c r="B15" s="3">
        <v>21879</v>
      </c>
      <c r="C15" s="8">
        <v>117495005407</v>
      </c>
      <c r="D15" s="4" t="s">
        <v>431</v>
      </c>
      <c r="E15" s="2" t="s">
        <v>432</v>
      </c>
      <c r="F15" s="2" t="s">
        <v>13</v>
      </c>
      <c r="G15" s="2" t="s">
        <v>416</v>
      </c>
      <c r="H15" s="5">
        <v>45030</v>
      </c>
      <c r="I15" s="6" t="s">
        <v>417</v>
      </c>
      <c r="J15" s="2">
        <v>1</v>
      </c>
      <c r="K15" s="2" t="s">
        <v>439</v>
      </c>
    </row>
    <row r="16" spans="1:11" ht="58" customHeight="1" x14ac:dyDescent="0.35">
      <c r="A16" s="2">
        <v>15</v>
      </c>
      <c r="B16" s="3">
        <v>21879</v>
      </c>
      <c r="C16" s="8">
        <v>117495005407</v>
      </c>
      <c r="D16" s="4" t="s">
        <v>431</v>
      </c>
      <c r="E16" s="2" t="s">
        <v>432</v>
      </c>
      <c r="F16" s="2" t="s">
        <v>13</v>
      </c>
      <c r="G16" s="2" t="s">
        <v>416</v>
      </c>
      <c r="H16" s="5">
        <v>45030</v>
      </c>
      <c r="I16" s="6" t="s">
        <v>417</v>
      </c>
      <c r="J16" s="2">
        <v>1</v>
      </c>
      <c r="K16" s="2" t="s">
        <v>440</v>
      </c>
    </row>
    <row r="17" spans="1:11" ht="58" customHeight="1" x14ac:dyDescent="0.35">
      <c r="A17" s="2">
        <v>16</v>
      </c>
      <c r="B17" s="3">
        <v>21879</v>
      </c>
      <c r="C17" s="8">
        <v>117495005407</v>
      </c>
      <c r="D17" s="4" t="s">
        <v>431</v>
      </c>
      <c r="E17" s="2" t="s">
        <v>432</v>
      </c>
      <c r="F17" s="2" t="s">
        <v>13</v>
      </c>
      <c r="G17" s="2" t="s">
        <v>416</v>
      </c>
      <c r="H17" s="5">
        <v>45030</v>
      </c>
      <c r="I17" s="6" t="s">
        <v>417</v>
      </c>
      <c r="J17" s="2">
        <v>1</v>
      </c>
      <c r="K17" s="2" t="s">
        <v>441</v>
      </c>
    </row>
    <row r="18" spans="1:11" ht="58" customHeight="1" x14ac:dyDescent="0.35">
      <c r="A18" s="2">
        <v>17</v>
      </c>
      <c r="B18" s="3">
        <v>84723</v>
      </c>
      <c r="C18" s="8">
        <v>117541000652</v>
      </c>
      <c r="D18" s="4" t="s">
        <v>442</v>
      </c>
      <c r="E18" s="2" t="s">
        <v>443</v>
      </c>
      <c r="F18" s="2" t="s">
        <v>13</v>
      </c>
      <c r="G18" s="2" t="s">
        <v>416</v>
      </c>
      <c r="H18" s="5">
        <v>45030</v>
      </c>
      <c r="I18" s="6" t="s">
        <v>417</v>
      </c>
      <c r="J18" s="2">
        <v>1</v>
      </c>
      <c r="K18" s="2" t="s">
        <v>444</v>
      </c>
    </row>
    <row r="19" spans="1:11" ht="58" customHeight="1" x14ac:dyDescent="0.35">
      <c r="A19" s="2">
        <v>18</v>
      </c>
      <c r="B19" s="3">
        <v>23072</v>
      </c>
      <c r="C19" s="8">
        <v>117614000753</v>
      </c>
      <c r="D19" s="4" t="s">
        <v>419</v>
      </c>
      <c r="E19" s="2" t="s">
        <v>445</v>
      </c>
      <c r="F19" s="2" t="s">
        <v>13</v>
      </c>
      <c r="G19" s="2" t="s">
        <v>416</v>
      </c>
      <c r="H19" s="5">
        <v>45030</v>
      </c>
      <c r="I19" s="6" t="s">
        <v>417</v>
      </c>
      <c r="J19" s="2">
        <v>1</v>
      </c>
      <c r="K19" s="2" t="s">
        <v>446</v>
      </c>
    </row>
    <row r="20" spans="1:11" ht="58" customHeight="1" x14ac:dyDescent="0.35">
      <c r="A20" s="2">
        <v>19</v>
      </c>
      <c r="B20" s="3">
        <v>23072</v>
      </c>
      <c r="C20" s="8">
        <v>117614000753</v>
      </c>
      <c r="D20" s="4" t="s">
        <v>419</v>
      </c>
      <c r="E20" s="2" t="s">
        <v>445</v>
      </c>
      <c r="F20" s="2" t="s">
        <v>13</v>
      </c>
      <c r="G20" s="2" t="s">
        <v>416</v>
      </c>
      <c r="H20" s="5">
        <v>45030</v>
      </c>
      <c r="I20" s="6" t="s">
        <v>417</v>
      </c>
      <c r="J20" s="2">
        <v>1</v>
      </c>
      <c r="K20" s="2" t="s">
        <v>447</v>
      </c>
    </row>
    <row r="21" spans="1:11" ht="58" customHeight="1" x14ac:dyDescent="0.35">
      <c r="A21" s="2">
        <v>20</v>
      </c>
      <c r="B21" s="3">
        <v>23072</v>
      </c>
      <c r="C21" s="8">
        <v>117614000753</v>
      </c>
      <c r="D21" s="4" t="s">
        <v>419</v>
      </c>
      <c r="E21" s="2" t="s">
        <v>445</v>
      </c>
      <c r="F21" s="2" t="s">
        <v>13</v>
      </c>
      <c r="G21" s="2" t="s">
        <v>416</v>
      </c>
      <c r="H21" s="5">
        <v>45030</v>
      </c>
      <c r="I21" s="6" t="s">
        <v>417</v>
      </c>
      <c r="J21" s="2">
        <v>1</v>
      </c>
      <c r="K21" s="2" t="s">
        <v>448</v>
      </c>
    </row>
    <row r="22" spans="1:11" ht="58" customHeight="1" x14ac:dyDescent="0.35">
      <c r="A22" s="2">
        <v>21</v>
      </c>
      <c r="B22" s="3">
        <v>23072</v>
      </c>
      <c r="C22" s="8">
        <v>117614000753</v>
      </c>
      <c r="D22" s="4" t="s">
        <v>419</v>
      </c>
      <c r="E22" s="2" t="s">
        <v>445</v>
      </c>
      <c r="F22" s="2" t="s">
        <v>13</v>
      </c>
      <c r="G22" s="2" t="s">
        <v>416</v>
      </c>
      <c r="H22" s="5">
        <v>45030</v>
      </c>
      <c r="I22" s="6" t="s">
        <v>417</v>
      </c>
      <c r="J22" s="2">
        <v>1</v>
      </c>
      <c r="K22" s="2" t="s">
        <v>449</v>
      </c>
    </row>
    <row r="23" spans="1:11" ht="58" customHeight="1" x14ac:dyDescent="0.35">
      <c r="A23" s="2">
        <v>22</v>
      </c>
      <c r="B23" s="3">
        <v>23072</v>
      </c>
      <c r="C23" s="8">
        <v>117614000753</v>
      </c>
      <c r="D23" s="4" t="s">
        <v>419</v>
      </c>
      <c r="E23" s="2" t="s">
        <v>445</v>
      </c>
      <c r="F23" s="2" t="s">
        <v>13</v>
      </c>
      <c r="G23" s="2" t="s">
        <v>416</v>
      </c>
      <c r="H23" s="5">
        <v>45030</v>
      </c>
      <c r="I23" s="6" t="s">
        <v>417</v>
      </c>
      <c r="J23" s="2">
        <v>1</v>
      </c>
      <c r="K23" s="2" t="s">
        <v>450</v>
      </c>
    </row>
    <row r="24" spans="1:11" ht="58" customHeight="1" x14ac:dyDescent="0.35">
      <c r="A24" s="2">
        <v>23</v>
      </c>
      <c r="B24" s="3">
        <v>23072</v>
      </c>
      <c r="C24" s="8">
        <v>117614000753</v>
      </c>
      <c r="D24" s="4" t="s">
        <v>419</v>
      </c>
      <c r="E24" s="2" t="s">
        <v>445</v>
      </c>
      <c r="F24" s="2" t="s">
        <v>13</v>
      </c>
      <c r="G24" s="2" t="s">
        <v>416</v>
      </c>
      <c r="H24" s="5">
        <v>45030</v>
      </c>
      <c r="I24" s="6" t="s">
        <v>417</v>
      </c>
      <c r="J24" s="2">
        <v>1</v>
      </c>
      <c r="K24" s="2" t="s">
        <v>451</v>
      </c>
    </row>
    <row r="25" spans="1:11" ht="58" customHeight="1" x14ac:dyDescent="0.35">
      <c r="A25" s="2">
        <v>24</v>
      </c>
      <c r="B25" s="3">
        <v>23072</v>
      </c>
      <c r="C25" s="8">
        <v>117614000753</v>
      </c>
      <c r="D25" s="4" t="s">
        <v>419</v>
      </c>
      <c r="E25" s="2" t="s">
        <v>445</v>
      </c>
      <c r="F25" s="2" t="s">
        <v>13</v>
      </c>
      <c r="G25" s="2" t="s">
        <v>416</v>
      </c>
      <c r="H25" s="5">
        <v>45030</v>
      </c>
      <c r="I25" s="6" t="s">
        <v>417</v>
      </c>
      <c r="J25" s="2">
        <v>1</v>
      </c>
      <c r="K25" s="2" t="s">
        <v>452</v>
      </c>
    </row>
    <row r="26" spans="1:11" ht="58" customHeight="1" x14ac:dyDescent="0.35">
      <c r="A26" s="2">
        <v>25</v>
      </c>
      <c r="B26" s="3">
        <v>23072</v>
      </c>
      <c r="C26" s="8">
        <v>117614000753</v>
      </c>
      <c r="D26" s="4" t="s">
        <v>419</v>
      </c>
      <c r="E26" s="2" t="s">
        <v>445</v>
      </c>
      <c r="F26" s="2" t="s">
        <v>13</v>
      </c>
      <c r="G26" s="2" t="s">
        <v>416</v>
      </c>
      <c r="H26" s="5">
        <v>45030</v>
      </c>
      <c r="I26" s="6" t="s">
        <v>417</v>
      </c>
      <c r="J26" s="2">
        <v>1</v>
      </c>
      <c r="K26" s="2" t="s">
        <v>453</v>
      </c>
    </row>
    <row r="27" spans="1:11" ht="58" customHeight="1" x14ac:dyDescent="0.35">
      <c r="A27" s="2">
        <v>26</v>
      </c>
      <c r="B27" s="3">
        <v>86476</v>
      </c>
      <c r="C27" s="8">
        <v>217614000928</v>
      </c>
      <c r="D27" s="4" t="s">
        <v>454</v>
      </c>
      <c r="E27" s="2" t="s">
        <v>445</v>
      </c>
      <c r="F27" s="2" t="s">
        <v>13</v>
      </c>
      <c r="G27" s="2" t="s">
        <v>416</v>
      </c>
      <c r="H27" s="5">
        <v>45030</v>
      </c>
      <c r="I27" s="6" t="s">
        <v>417</v>
      </c>
      <c r="J27" s="2">
        <v>1</v>
      </c>
      <c r="K27" s="2" t="s">
        <v>455</v>
      </c>
    </row>
    <row r="28" spans="1:11" ht="58" customHeight="1" x14ac:dyDescent="0.35">
      <c r="A28" s="2">
        <v>27</v>
      </c>
      <c r="B28" s="3">
        <v>86476</v>
      </c>
      <c r="C28" s="8">
        <v>217614000928</v>
      </c>
      <c r="D28" s="4" t="s">
        <v>454</v>
      </c>
      <c r="E28" s="2" t="s">
        <v>445</v>
      </c>
      <c r="F28" s="2" t="s">
        <v>13</v>
      </c>
      <c r="G28" s="2" t="s">
        <v>416</v>
      </c>
      <c r="H28" s="5">
        <v>45030</v>
      </c>
      <c r="I28" s="6" t="s">
        <v>417</v>
      </c>
      <c r="J28" s="2">
        <v>1</v>
      </c>
      <c r="K28" s="2" t="s">
        <v>456</v>
      </c>
    </row>
    <row r="29" spans="1:11" ht="58" customHeight="1" x14ac:dyDescent="0.35">
      <c r="A29" s="2">
        <v>28</v>
      </c>
      <c r="B29" s="3">
        <v>33369</v>
      </c>
      <c r="C29" s="8">
        <v>217662000085</v>
      </c>
      <c r="D29" s="4" t="s">
        <v>457</v>
      </c>
      <c r="E29" s="2" t="s">
        <v>458</v>
      </c>
      <c r="F29" s="2" t="s">
        <v>13</v>
      </c>
      <c r="G29" s="2" t="s">
        <v>416</v>
      </c>
      <c r="H29" s="5">
        <v>45030</v>
      </c>
      <c r="I29" s="6" t="s">
        <v>417</v>
      </c>
      <c r="J29" s="2">
        <v>1</v>
      </c>
      <c r="K29" s="2" t="s">
        <v>459</v>
      </c>
    </row>
    <row r="30" spans="1:11" ht="58" customHeight="1" x14ac:dyDescent="0.35">
      <c r="A30" s="2">
        <v>29</v>
      </c>
      <c r="B30" s="3">
        <v>19768</v>
      </c>
      <c r="C30" s="8">
        <v>217662000093</v>
      </c>
      <c r="D30" s="4" t="s">
        <v>460</v>
      </c>
      <c r="E30" s="2" t="s">
        <v>458</v>
      </c>
      <c r="F30" s="2" t="s">
        <v>13</v>
      </c>
      <c r="G30" s="2" t="s">
        <v>416</v>
      </c>
      <c r="H30" s="5">
        <v>45030</v>
      </c>
      <c r="I30" s="6" t="s">
        <v>417</v>
      </c>
      <c r="J30" s="2">
        <v>1</v>
      </c>
      <c r="K30" s="2" t="s">
        <v>461</v>
      </c>
    </row>
    <row r="31" spans="1:11" ht="58" customHeight="1" x14ac:dyDescent="0.35">
      <c r="A31" s="2">
        <v>30</v>
      </c>
      <c r="B31" s="3">
        <v>33370</v>
      </c>
      <c r="C31" s="8">
        <v>217662000964</v>
      </c>
      <c r="D31" s="4" t="s">
        <v>462</v>
      </c>
      <c r="E31" s="2" t="s">
        <v>458</v>
      </c>
      <c r="F31" s="2" t="s">
        <v>13</v>
      </c>
      <c r="G31" s="2" t="s">
        <v>416</v>
      </c>
      <c r="H31" s="5">
        <v>45030</v>
      </c>
      <c r="I31" s="6" t="s">
        <v>417</v>
      </c>
      <c r="J31" s="2">
        <v>1</v>
      </c>
      <c r="K31" s="2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opLeftCell="D1" workbookViewId="0">
      <selection activeCell="D1" sqref="D1"/>
    </sheetView>
  </sheetViews>
  <sheetFormatPr baseColWidth="10" defaultRowHeight="14.5" x14ac:dyDescent="0.35"/>
  <cols>
    <col min="1" max="1" width="4.26953125" bestFit="1" customWidth="1"/>
    <col min="2" max="2" width="7.453125" bestFit="1" customWidth="1"/>
    <col min="3" max="3" width="15.453125" style="10" bestFit="1" customWidth="1"/>
    <col min="4" max="4" width="43.1796875" customWidth="1"/>
    <col min="5" max="5" width="11" bestFit="1" customWidth="1"/>
    <col min="6" max="7" width="10.54296875" bestFit="1" customWidth="1"/>
    <col min="8" max="8" width="10.26953125" bestFit="1" customWidth="1"/>
    <col min="9" max="9" width="43" bestFit="1" customWidth="1"/>
    <col min="10" max="10" width="7.1796875" bestFit="1" customWidth="1"/>
    <col min="11" max="11" width="9.54296875" bestFit="1" customWidth="1"/>
  </cols>
  <sheetData>
    <row r="1" spans="1:11" ht="48" customHeight="1" x14ac:dyDescent="0.35">
      <c r="A1" s="1" t="s">
        <v>0</v>
      </c>
      <c r="B1" s="1" t="s">
        <v>1</v>
      </c>
      <c r="C1" s="9" t="s">
        <v>413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6" customHeight="1" x14ac:dyDescent="0.35">
      <c r="A2" s="2">
        <v>1</v>
      </c>
      <c r="B2" s="3">
        <v>86471</v>
      </c>
      <c r="C2" s="8">
        <v>117013000306</v>
      </c>
      <c r="D2" s="4" t="s">
        <v>464</v>
      </c>
      <c r="E2" s="2" t="s">
        <v>465</v>
      </c>
      <c r="F2" s="2" t="s">
        <v>13</v>
      </c>
      <c r="G2" s="2" t="s">
        <v>416</v>
      </c>
      <c r="H2" s="7">
        <v>45053</v>
      </c>
      <c r="I2" s="7" t="s">
        <v>466</v>
      </c>
      <c r="J2" s="2">
        <v>1</v>
      </c>
      <c r="K2" s="2" t="s">
        <v>467</v>
      </c>
    </row>
    <row r="3" spans="1:11" ht="36" customHeight="1" x14ac:dyDescent="0.35">
      <c r="A3" s="2">
        <v>2</v>
      </c>
      <c r="B3" s="3">
        <v>86471</v>
      </c>
      <c r="C3" s="8">
        <v>117013000306</v>
      </c>
      <c r="D3" s="4" t="s">
        <v>464</v>
      </c>
      <c r="E3" s="2" t="s">
        <v>465</v>
      </c>
      <c r="F3" s="2" t="s">
        <v>13</v>
      </c>
      <c r="G3" s="2" t="s">
        <v>416</v>
      </c>
      <c r="H3" s="7">
        <v>45053</v>
      </c>
      <c r="I3" s="7" t="s">
        <v>466</v>
      </c>
      <c r="J3" s="2">
        <v>1</v>
      </c>
      <c r="K3" s="2" t="s">
        <v>468</v>
      </c>
    </row>
    <row r="4" spans="1:11" ht="36" customHeight="1" x14ac:dyDescent="0.35">
      <c r="A4" s="2">
        <v>3</v>
      </c>
      <c r="B4" s="3">
        <v>32741</v>
      </c>
      <c r="C4" s="8">
        <v>117088000255</v>
      </c>
      <c r="D4" s="4" t="s">
        <v>469</v>
      </c>
      <c r="E4" s="2" t="s">
        <v>470</v>
      </c>
      <c r="F4" s="2" t="s">
        <v>13</v>
      </c>
      <c r="G4" s="2" t="s">
        <v>416</v>
      </c>
      <c r="H4" s="7">
        <v>45053</v>
      </c>
      <c r="I4" s="7" t="s">
        <v>466</v>
      </c>
      <c r="J4" s="2">
        <v>1</v>
      </c>
      <c r="K4" s="2" t="s">
        <v>471</v>
      </c>
    </row>
    <row r="5" spans="1:11" ht="36" customHeight="1" x14ac:dyDescent="0.35">
      <c r="A5" s="2">
        <v>4</v>
      </c>
      <c r="B5" s="3">
        <v>32741</v>
      </c>
      <c r="C5" s="8">
        <v>117088000255</v>
      </c>
      <c r="D5" s="4" t="s">
        <v>469</v>
      </c>
      <c r="E5" s="2" t="s">
        <v>470</v>
      </c>
      <c r="F5" s="2" t="s">
        <v>13</v>
      </c>
      <c r="G5" s="2" t="s">
        <v>416</v>
      </c>
      <c r="H5" s="7">
        <v>45053</v>
      </c>
      <c r="I5" s="7" t="s">
        <v>466</v>
      </c>
      <c r="J5" s="2">
        <v>1</v>
      </c>
      <c r="K5" s="2" t="s">
        <v>472</v>
      </c>
    </row>
    <row r="6" spans="1:11" ht="36" customHeight="1" x14ac:dyDescent="0.35">
      <c r="A6" s="2">
        <v>5</v>
      </c>
      <c r="B6" s="3">
        <v>32741</v>
      </c>
      <c r="C6" s="8">
        <v>117088000255</v>
      </c>
      <c r="D6" s="4" t="s">
        <v>469</v>
      </c>
      <c r="E6" s="2" t="s">
        <v>470</v>
      </c>
      <c r="F6" s="2" t="s">
        <v>13</v>
      </c>
      <c r="G6" s="2" t="s">
        <v>416</v>
      </c>
      <c r="H6" s="7">
        <v>45053</v>
      </c>
      <c r="I6" s="7" t="s">
        <v>466</v>
      </c>
      <c r="J6" s="2">
        <v>1</v>
      </c>
      <c r="K6" s="2" t="s">
        <v>473</v>
      </c>
    </row>
    <row r="7" spans="1:11" ht="36" customHeight="1" x14ac:dyDescent="0.35">
      <c r="A7" s="2">
        <v>6</v>
      </c>
      <c r="B7" s="3">
        <v>32741</v>
      </c>
      <c r="C7" s="8">
        <v>117088000255</v>
      </c>
      <c r="D7" s="4" t="s">
        <v>469</v>
      </c>
      <c r="E7" s="2" t="s">
        <v>470</v>
      </c>
      <c r="F7" s="2" t="s">
        <v>13</v>
      </c>
      <c r="G7" s="2" t="s">
        <v>416</v>
      </c>
      <c r="H7" s="7">
        <v>45053</v>
      </c>
      <c r="I7" s="7" t="s">
        <v>466</v>
      </c>
      <c r="J7" s="2">
        <v>1</v>
      </c>
      <c r="K7" s="2" t="s">
        <v>474</v>
      </c>
    </row>
    <row r="8" spans="1:11" ht="36" customHeight="1" x14ac:dyDescent="0.35">
      <c r="A8" s="2">
        <v>7</v>
      </c>
      <c r="B8" s="3">
        <v>32751</v>
      </c>
      <c r="C8" s="8">
        <v>117174000292</v>
      </c>
      <c r="D8" s="4" t="s">
        <v>475</v>
      </c>
      <c r="E8" s="2" t="s">
        <v>476</v>
      </c>
      <c r="F8" s="2" t="s">
        <v>13</v>
      </c>
      <c r="G8" s="2" t="s">
        <v>416</v>
      </c>
      <c r="H8" s="7">
        <v>45053</v>
      </c>
      <c r="I8" s="7" t="s">
        <v>466</v>
      </c>
      <c r="J8" s="2">
        <v>1</v>
      </c>
      <c r="K8" s="2" t="s">
        <v>477</v>
      </c>
    </row>
    <row r="9" spans="1:11" ht="36" customHeight="1" x14ac:dyDescent="0.35">
      <c r="A9" s="2">
        <v>8</v>
      </c>
      <c r="B9" s="3">
        <v>18499</v>
      </c>
      <c r="C9" s="8">
        <v>117174000349</v>
      </c>
      <c r="D9" s="4" t="s">
        <v>478</v>
      </c>
      <c r="E9" s="2" t="s">
        <v>476</v>
      </c>
      <c r="F9" s="2" t="s">
        <v>13</v>
      </c>
      <c r="G9" s="2" t="s">
        <v>416</v>
      </c>
      <c r="H9" s="7">
        <v>45053</v>
      </c>
      <c r="I9" s="7" t="s">
        <v>466</v>
      </c>
      <c r="J9" s="2">
        <v>1</v>
      </c>
      <c r="K9" s="2" t="s">
        <v>479</v>
      </c>
    </row>
    <row r="10" spans="1:11" ht="36" customHeight="1" x14ac:dyDescent="0.35">
      <c r="A10" s="2">
        <v>9</v>
      </c>
      <c r="B10" s="3">
        <v>18499</v>
      </c>
      <c r="C10" s="8">
        <v>117174000349</v>
      </c>
      <c r="D10" s="4" t="s">
        <v>478</v>
      </c>
      <c r="E10" s="2" t="s">
        <v>476</v>
      </c>
      <c r="F10" s="2" t="s">
        <v>13</v>
      </c>
      <c r="G10" s="2" t="s">
        <v>416</v>
      </c>
      <c r="H10" s="7">
        <v>45053</v>
      </c>
      <c r="I10" s="7" t="s">
        <v>466</v>
      </c>
      <c r="J10" s="2">
        <v>1</v>
      </c>
      <c r="K10" s="2" t="s">
        <v>480</v>
      </c>
    </row>
    <row r="11" spans="1:11" ht="36" customHeight="1" x14ac:dyDescent="0.35">
      <c r="A11" s="2">
        <v>10</v>
      </c>
      <c r="B11" s="3">
        <v>18499</v>
      </c>
      <c r="C11" s="8">
        <v>117174000349</v>
      </c>
      <c r="D11" s="4" t="s">
        <v>478</v>
      </c>
      <c r="E11" s="2" t="s">
        <v>476</v>
      </c>
      <c r="F11" s="2" t="s">
        <v>13</v>
      </c>
      <c r="G11" s="2" t="s">
        <v>416</v>
      </c>
      <c r="H11" s="7">
        <v>45053</v>
      </c>
      <c r="I11" s="7" t="s">
        <v>466</v>
      </c>
      <c r="J11" s="2">
        <v>1</v>
      </c>
      <c r="K11" s="2" t="s">
        <v>481</v>
      </c>
    </row>
    <row r="12" spans="1:11" ht="36" customHeight="1" x14ac:dyDescent="0.35">
      <c r="A12" s="2">
        <v>11</v>
      </c>
      <c r="B12" s="3">
        <v>18499</v>
      </c>
      <c r="C12" s="8">
        <v>117174000349</v>
      </c>
      <c r="D12" s="4" t="s">
        <v>478</v>
      </c>
      <c r="E12" s="2" t="s">
        <v>476</v>
      </c>
      <c r="F12" s="2" t="s">
        <v>13</v>
      </c>
      <c r="G12" s="2" t="s">
        <v>416</v>
      </c>
      <c r="H12" s="7">
        <v>45053</v>
      </c>
      <c r="I12" s="7" t="s">
        <v>466</v>
      </c>
      <c r="J12" s="2">
        <v>1</v>
      </c>
      <c r="K12" s="2" t="s">
        <v>482</v>
      </c>
    </row>
    <row r="13" spans="1:11" ht="36" customHeight="1" x14ac:dyDescent="0.35">
      <c r="A13" s="2">
        <v>12</v>
      </c>
      <c r="B13" s="3">
        <v>18499</v>
      </c>
      <c r="C13" s="8">
        <v>117174000349</v>
      </c>
      <c r="D13" s="4" t="s">
        <v>478</v>
      </c>
      <c r="E13" s="2" t="s">
        <v>476</v>
      </c>
      <c r="F13" s="2" t="s">
        <v>13</v>
      </c>
      <c r="G13" s="2" t="s">
        <v>416</v>
      </c>
      <c r="H13" s="7">
        <v>45053</v>
      </c>
      <c r="I13" s="7" t="s">
        <v>466</v>
      </c>
      <c r="J13" s="2">
        <v>1</v>
      </c>
      <c r="K13" s="2" t="s">
        <v>483</v>
      </c>
    </row>
    <row r="14" spans="1:11" ht="36" customHeight="1" x14ac:dyDescent="0.35">
      <c r="A14" s="2">
        <v>13</v>
      </c>
      <c r="B14" s="3">
        <v>18499</v>
      </c>
      <c r="C14" s="8">
        <v>117174000349</v>
      </c>
      <c r="D14" s="4" t="s">
        <v>478</v>
      </c>
      <c r="E14" s="2" t="s">
        <v>476</v>
      </c>
      <c r="F14" s="2" t="s">
        <v>13</v>
      </c>
      <c r="G14" s="2" t="s">
        <v>416</v>
      </c>
      <c r="H14" s="7">
        <v>45053</v>
      </c>
      <c r="I14" s="7" t="s">
        <v>466</v>
      </c>
      <c r="J14" s="2">
        <v>1</v>
      </c>
      <c r="K14" s="2" t="s">
        <v>484</v>
      </c>
    </row>
    <row r="15" spans="1:11" ht="36" customHeight="1" x14ac:dyDescent="0.35">
      <c r="A15" s="2">
        <v>14</v>
      </c>
      <c r="B15" s="3">
        <v>18499</v>
      </c>
      <c r="C15" s="8">
        <v>117174000349</v>
      </c>
      <c r="D15" s="4" t="s">
        <v>478</v>
      </c>
      <c r="E15" s="2" t="s">
        <v>476</v>
      </c>
      <c r="F15" s="2" t="s">
        <v>13</v>
      </c>
      <c r="G15" s="2" t="s">
        <v>416</v>
      </c>
      <c r="H15" s="7">
        <v>45053</v>
      </c>
      <c r="I15" s="7" t="s">
        <v>466</v>
      </c>
      <c r="J15" s="2">
        <v>1</v>
      </c>
      <c r="K15" s="2" t="s">
        <v>485</v>
      </c>
    </row>
    <row r="16" spans="1:11" ht="36" customHeight="1" x14ac:dyDescent="0.35">
      <c r="A16" s="2">
        <v>15</v>
      </c>
      <c r="B16" s="3">
        <v>84731</v>
      </c>
      <c r="C16" s="8">
        <v>117433000379</v>
      </c>
      <c r="D16" s="4" t="s">
        <v>486</v>
      </c>
      <c r="E16" s="2" t="s">
        <v>487</v>
      </c>
      <c r="F16" s="2" t="s">
        <v>13</v>
      </c>
      <c r="G16" s="2" t="s">
        <v>416</v>
      </c>
      <c r="H16" s="7">
        <v>45053</v>
      </c>
      <c r="I16" s="7" t="s">
        <v>466</v>
      </c>
      <c r="J16" s="2">
        <v>1</v>
      </c>
      <c r="K16" s="2" t="s">
        <v>488</v>
      </c>
    </row>
    <row r="17" spans="1:11" ht="36" customHeight="1" x14ac:dyDescent="0.35">
      <c r="A17" s="2">
        <v>16</v>
      </c>
      <c r="B17" s="3">
        <v>84731</v>
      </c>
      <c r="C17" s="8">
        <v>117433000379</v>
      </c>
      <c r="D17" s="4" t="s">
        <v>486</v>
      </c>
      <c r="E17" s="2" t="s">
        <v>487</v>
      </c>
      <c r="F17" s="2" t="s">
        <v>13</v>
      </c>
      <c r="G17" s="2" t="s">
        <v>416</v>
      </c>
      <c r="H17" s="7">
        <v>45053</v>
      </c>
      <c r="I17" s="7" t="s">
        <v>466</v>
      </c>
      <c r="J17" s="2">
        <v>1</v>
      </c>
      <c r="K17" s="2" t="s">
        <v>489</v>
      </c>
    </row>
    <row r="18" spans="1:11" ht="36" customHeight="1" x14ac:dyDescent="0.35">
      <c r="A18" s="2">
        <v>17</v>
      </c>
      <c r="B18" s="3">
        <v>84731</v>
      </c>
      <c r="C18" s="8">
        <v>117433000379</v>
      </c>
      <c r="D18" s="4" t="s">
        <v>486</v>
      </c>
      <c r="E18" s="2" t="s">
        <v>487</v>
      </c>
      <c r="F18" s="2" t="s">
        <v>13</v>
      </c>
      <c r="G18" s="2" t="s">
        <v>416</v>
      </c>
      <c r="H18" s="7">
        <v>45053</v>
      </c>
      <c r="I18" s="7" t="s">
        <v>466</v>
      </c>
      <c r="J18" s="2">
        <v>1</v>
      </c>
      <c r="K18" s="2" t="s">
        <v>490</v>
      </c>
    </row>
    <row r="19" spans="1:11" ht="36" customHeight="1" x14ac:dyDescent="0.35">
      <c r="A19" s="2">
        <v>18</v>
      </c>
      <c r="B19" s="3">
        <v>84731</v>
      </c>
      <c r="C19" s="8">
        <v>117433000379</v>
      </c>
      <c r="D19" s="4" t="s">
        <v>486</v>
      </c>
      <c r="E19" s="2" t="s">
        <v>487</v>
      </c>
      <c r="F19" s="2" t="s">
        <v>13</v>
      </c>
      <c r="G19" s="2" t="s">
        <v>416</v>
      </c>
      <c r="H19" s="7">
        <v>45053</v>
      </c>
      <c r="I19" s="7" t="s">
        <v>466</v>
      </c>
      <c r="J19" s="2">
        <v>1</v>
      </c>
      <c r="K19" s="2" t="s">
        <v>491</v>
      </c>
    </row>
    <row r="20" spans="1:11" ht="36" customHeight="1" x14ac:dyDescent="0.35">
      <c r="A20" s="2">
        <v>19</v>
      </c>
      <c r="B20" s="3">
        <v>84731</v>
      </c>
      <c r="C20" s="8">
        <v>117433000379</v>
      </c>
      <c r="D20" s="4" t="s">
        <v>486</v>
      </c>
      <c r="E20" s="2" t="s">
        <v>487</v>
      </c>
      <c r="F20" s="2" t="s">
        <v>13</v>
      </c>
      <c r="G20" s="2" t="s">
        <v>416</v>
      </c>
      <c r="H20" s="7">
        <v>45053</v>
      </c>
      <c r="I20" s="7" t="s">
        <v>466</v>
      </c>
      <c r="J20" s="2">
        <v>1</v>
      </c>
      <c r="K20" s="2" t="s">
        <v>492</v>
      </c>
    </row>
    <row r="21" spans="1:11" ht="36" customHeight="1" x14ac:dyDescent="0.35">
      <c r="A21" s="2">
        <v>20</v>
      </c>
      <c r="B21" s="3">
        <v>21879</v>
      </c>
      <c r="C21" s="8">
        <v>117495005407</v>
      </c>
      <c r="D21" s="4" t="s">
        <v>431</v>
      </c>
      <c r="E21" s="2" t="s">
        <v>432</v>
      </c>
      <c r="F21" s="2" t="s">
        <v>13</v>
      </c>
      <c r="G21" s="2" t="s">
        <v>416</v>
      </c>
      <c r="H21" s="7">
        <v>45053</v>
      </c>
      <c r="I21" s="7" t="s">
        <v>466</v>
      </c>
      <c r="J21" s="2">
        <v>1</v>
      </c>
      <c r="K21" s="2" t="s">
        <v>493</v>
      </c>
    </row>
    <row r="22" spans="1:11" ht="36" customHeight="1" x14ac:dyDescent="0.35">
      <c r="A22" s="2">
        <v>21</v>
      </c>
      <c r="B22" s="3">
        <v>21879</v>
      </c>
      <c r="C22" s="8">
        <v>117495005407</v>
      </c>
      <c r="D22" s="4" t="s">
        <v>431</v>
      </c>
      <c r="E22" s="2" t="s">
        <v>432</v>
      </c>
      <c r="F22" s="2" t="s">
        <v>13</v>
      </c>
      <c r="G22" s="2" t="s">
        <v>416</v>
      </c>
      <c r="H22" s="7">
        <v>45053</v>
      </c>
      <c r="I22" s="7" t="s">
        <v>466</v>
      </c>
      <c r="J22" s="2">
        <v>1</v>
      </c>
      <c r="K22" s="2" t="s">
        <v>494</v>
      </c>
    </row>
    <row r="23" spans="1:11" ht="36" customHeight="1" x14ac:dyDescent="0.35">
      <c r="A23" s="2">
        <v>22</v>
      </c>
      <c r="B23" s="3">
        <v>21879</v>
      </c>
      <c r="C23" s="8">
        <v>117495005407</v>
      </c>
      <c r="D23" s="4" t="s">
        <v>431</v>
      </c>
      <c r="E23" s="2" t="s">
        <v>432</v>
      </c>
      <c r="F23" s="2" t="s">
        <v>13</v>
      </c>
      <c r="G23" s="2" t="s">
        <v>416</v>
      </c>
      <c r="H23" s="7">
        <v>45053</v>
      </c>
      <c r="I23" s="7" t="s">
        <v>466</v>
      </c>
      <c r="J23" s="2">
        <v>1</v>
      </c>
      <c r="K23" s="2" t="s">
        <v>495</v>
      </c>
    </row>
    <row r="24" spans="1:11" ht="36" customHeight="1" x14ac:dyDescent="0.35">
      <c r="A24" s="2">
        <v>23</v>
      </c>
      <c r="B24" s="3">
        <v>33116</v>
      </c>
      <c r="C24" s="8">
        <v>117513000558</v>
      </c>
      <c r="D24" s="4" t="s">
        <v>422</v>
      </c>
      <c r="E24" s="2" t="s">
        <v>496</v>
      </c>
      <c r="F24" s="2" t="s">
        <v>13</v>
      </c>
      <c r="G24" s="2" t="s">
        <v>416</v>
      </c>
      <c r="H24" s="7">
        <v>45053</v>
      </c>
      <c r="I24" s="7" t="s">
        <v>466</v>
      </c>
      <c r="J24" s="2">
        <v>1</v>
      </c>
      <c r="K24" s="2" t="s">
        <v>497</v>
      </c>
    </row>
    <row r="25" spans="1:11" ht="36" customHeight="1" x14ac:dyDescent="0.35">
      <c r="A25" s="2">
        <v>24</v>
      </c>
      <c r="B25" s="3">
        <v>83042</v>
      </c>
      <c r="C25" s="8">
        <v>217541000673</v>
      </c>
      <c r="D25" s="4" t="s">
        <v>498</v>
      </c>
      <c r="E25" s="2" t="s">
        <v>443</v>
      </c>
      <c r="F25" s="2" t="s">
        <v>13</v>
      </c>
      <c r="G25" s="2" t="s">
        <v>416</v>
      </c>
      <c r="H25" s="7">
        <v>45053</v>
      </c>
      <c r="I25" s="7" t="s">
        <v>466</v>
      </c>
      <c r="J25" s="2">
        <v>1</v>
      </c>
      <c r="K25" s="2" t="s">
        <v>499</v>
      </c>
    </row>
    <row r="26" spans="1:11" ht="36" customHeight="1" x14ac:dyDescent="0.35">
      <c r="A26" s="2">
        <v>25</v>
      </c>
      <c r="B26" s="3">
        <v>83042</v>
      </c>
      <c r="C26" s="8">
        <v>217541000673</v>
      </c>
      <c r="D26" s="4" t="s">
        <v>498</v>
      </c>
      <c r="E26" s="2" t="s">
        <v>443</v>
      </c>
      <c r="F26" s="2" t="s">
        <v>13</v>
      </c>
      <c r="G26" s="2" t="s">
        <v>416</v>
      </c>
      <c r="H26" s="7">
        <v>45053</v>
      </c>
      <c r="I26" s="7" t="s">
        <v>466</v>
      </c>
      <c r="J26" s="2">
        <v>1</v>
      </c>
      <c r="K26" s="2" t="s">
        <v>500</v>
      </c>
    </row>
    <row r="27" spans="1:11" ht="36" customHeight="1" x14ac:dyDescent="0.35">
      <c r="A27" s="2">
        <v>26</v>
      </c>
      <c r="B27" s="3">
        <v>83042</v>
      </c>
      <c r="C27" s="8">
        <v>217541000673</v>
      </c>
      <c r="D27" s="4" t="s">
        <v>498</v>
      </c>
      <c r="E27" s="2" t="s">
        <v>443</v>
      </c>
      <c r="F27" s="2" t="s">
        <v>13</v>
      </c>
      <c r="G27" s="2" t="s">
        <v>416</v>
      </c>
      <c r="H27" s="7">
        <v>45053</v>
      </c>
      <c r="I27" s="7" t="s">
        <v>466</v>
      </c>
      <c r="J27" s="2">
        <v>1</v>
      </c>
      <c r="K27" s="2" t="s">
        <v>501</v>
      </c>
    </row>
    <row r="28" spans="1:11" ht="36" customHeight="1" x14ac:dyDescent="0.35">
      <c r="A28" s="2">
        <v>27</v>
      </c>
      <c r="B28" s="3">
        <v>83042</v>
      </c>
      <c r="C28" s="8">
        <v>217541000673</v>
      </c>
      <c r="D28" s="4" t="s">
        <v>498</v>
      </c>
      <c r="E28" s="2" t="s">
        <v>443</v>
      </c>
      <c r="F28" s="2" t="s">
        <v>13</v>
      </c>
      <c r="G28" s="2" t="s">
        <v>416</v>
      </c>
      <c r="H28" s="7">
        <v>45053</v>
      </c>
      <c r="I28" s="7" t="s">
        <v>466</v>
      </c>
      <c r="J28" s="2">
        <v>1</v>
      </c>
      <c r="K28" s="2" t="s">
        <v>502</v>
      </c>
    </row>
    <row r="29" spans="1:11" ht="36" customHeight="1" x14ac:dyDescent="0.35">
      <c r="A29" s="2">
        <v>28</v>
      </c>
      <c r="B29" s="3">
        <v>84717</v>
      </c>
      <c r="C29" s="8">
        <v>217541001360</v>
      </c>
      <c r="D29" s="4" t="s">
        <v>503</v>
      </c>
      <c r="E29" s="2" t="s">
        <v>443</v>
      </c>
      <c r="F29" s="2" t="s">
        <v>13</v>
      </c>
      <c r="G29" s="2" t="s">
        <v>416</v>
      </c>
      <c r="H29" s="7">
        <v>45053</v>
      </c>
      <c r="I29" s="7" t="s">
        <v>466</v>
      </c>
      <c r="J29" s="2">
        <v>1</v>
      </c>
      <c r="K29" s="2" t="s">
        <v>504</v>
      </c>
    </row>
    <row r="30" spans="1:11" ht="36" customHeight="1" x14ac:dyDescent="0.35">
      <c r="A30" s="2">
        <v>29</v>
      </c>
      <c r="B30" s="3">
        <v>84717</v>
      </c>
      <c r="C30" s="8">
        <v>217541001360</v>
      </c>
      <c r="D30" s="4" t="s">
        <v>503</v>
      </c>
      <c r="E30" s="2" t="s">
        <v>443</v>
      </c>
      <c r="F30" s="2" t="s">
        <v>13</v>
      </c>
      <c r="G30" s="2" t="s">
        <v>416</v>
      </c>
      <c r="H30" s="7">
        <v>45053</v>
      </c>
      <c r="I30" s="7" t="s">
        <v>466</v>
      </c>
      <c r="J30" s="2">
        <v>1</v>
      </c>
      <c r="K30" s="2" t="s">
        <v>505</v>
      </c>
    </row>
    <row r="31" spans="1:11" ht="36" customHeight="1" x14ac:dyDescent="0.35">
      <c r="A31" s="2">
        <v>30</v>
      </c>
      <c r="B31" s="3">
        <v>84717</v>
      </c>
      <c r="C31" s="8">
        <v>217541001360</v>
      </c>
      <c r="D31" s="4" t="s">
        <v>503</v>
      </c>
      <c r="E31" s="2" t="s">
        <v>443</v>
      </c>
      <c r="F31" s="2" t="s">
        <v>13</v>
      </c>
      <c r="G31" s="2" t="s">
        <v>416</v>
      </c>
      <c r="H31" s="7">
        <v>45053</v>
      </c>
      <c r="I31" s="7" t="s">
        <v>466</v>
      </c>
      <c r="J31" s="2">
        <v>1</v>
      </c>
      <c r="K31" s="2" t="s">
        <v>506</v>
      </c>
    </row>
    <row r="32" spans="1:11" ht="36" customHeight="1" x14ac:dyDescent="0.35">
      <c r="A32" s="2">
        <v>31</v>
      </c>
      <c r="B32" s="3">
        <v>84717</v>
      </c>
      <c r="C32" s="8">
        <v>217541001360</v>
      </c>
      <c r="D32" s="4" t="s">
        <v>503</v>
      </c>
      <c r="E32" s="2" t="s">
        <v>443</v>
      </c>
      <c r="F32" s="2" t="s">
        <v>13</v>
      </c>
      <c r="G32" s="2" t="s">
        <v>416</v>
      </c>
      <c r="H32" s="7">
        <v>45053</v>
      </c>
      <c r="I32" s="7" t="s">
        <v>466</v>
      </c>
      <c r="J32" s="2">
        <v>1</v>
      </c>
      <c r="K32" s="2" t="s">
        <v>507</v>
      </c>
    </row>
    <row r="33" spans="1:11" ht="36" customHeight="1" x14ac:dyDescent="0.35">
      <c r="A33" s="2">
        <v>32</v>
      </c>
      <c r="B33" s="3">
        <v>84717</v>
      </c>
      <c r="C33" s="8">
        <v>217541001360</v>
      </c>
      <c r="D33" s="4" t="s">
        <v>503</v>
      </c>
      <c r="E33" s="2" t="s">
        <v>443</v>
      </c>
      <c r="F33" s="2" t="s">
        <v>13</v>
      </c>
      <c r="G33" s="2" t="s">
        <v>416</v>
      </c>
      <c r="H33" s="7">
        <v>45053</v>
      </c>
      <c r="I33" s="7" t="s">
        <v>466</v>
      </c>
      <c r="J33" s="2">
        <v>1</v>
      </c>
      <c r="K33" s="2" t="s">
        <v>508</v>
      </c>
    </row>
    <row r="34" spans="1:11" ht="36" customHeight="1" x14ac:dyDescent="0.35">
      <c r="A34" s="2">
        <v>33</v>
      </c>
      <c r="B34" s="3">
        <v>84717</v>
      </c>
      <c r="C34" s="8">
        <v>217541001360</v>
      </c>
      <c r="D34" s="4" t="s">
        <v>503</v>
      </c>
      <c r="E34" s="2" t="s">
        <v>443</v>
      </c>
      <c r="F34" s="2" t="s">
        <v>13</v>
      </c>
      <c r="G34" s="2" t="s">
        <v>416</v>
      </c>
      <c r="H34" s="7">
        <v>45053</v>
      </c>
      <c r="I34" s="7" t="s">
        <v>466</v>
      </c>
      <c r="J34" s="2">
        <v>1</v>
      </c>
      <c r="K34" s="2" t="s">
        <v>509</v>
      </c>
    </row>
    <row r="35" spans="1:11" ht="36" customHeight="1" x14ac:dyDescent="0.35">
      <c r="A35" s="2">
        <v>34</v>
      </c>
      <c r="B35" s="3">
        <v>84728</v>
      </c>
      <c r="C35" s="8">
        <v>117614000711</v>
      </c>
      <c r="D35" s="4" t="s">
        <v>510</v>
      </c>
      <c r="E35" s="2" t="s">
        <v>445</v>
      </c>
      <c r="F35" s="2" t="s">
        <v>13</v>
      </c>
      <c r="G35" s="2" t="s">
        <v>416</v>
      </c>
      <c r="H35" s="7">
        <v>45053</v>
      </c>
      <c r="I35" s="7" t="s">
        <v>466</v>
      </c>
      <c r="J35" s="2">
        <v>1</v>
      </c>
      <c r="K35" s="2" t="s">
        <v>511</v>
      </c>
    </row>
    <row r="36" spans="1:11" ht="36" customHeight="1" x14ac:dyDescent="0.35">
      <c r="A36" s="2">
        <v>35</v>
      </c>
      <c r="B36" s="3">
        <v>16909</v>
      </c>
      <c r="C36" s="8">
        <v>117616000696</v>
      </c>
      <c r="D36" s="4" t="s">
        <v>512</v>
      </c>
      <c r="E36" s="2" t="s">
        <v>513</v>
      </c>
      <c r="F36" s="2" t="s">
        <v>13</v>
      </c>
      <c r="G36" s="2" t="s">
        <v>416</v>
      </c>
      <c r="H36" s="7" t="s">
        <v>514</v>
      </c>
      <c r="I36" s="7" t="s">
        <v>466</v>
      </c>
      <c r="J36" s="2">
        <v>1</v>
      </c>
      <c r="K36" s="2" t="s">
        <v>515</v>
      </c>
    </row>
    <row r="37" spans="1:11" ht="36" customHeight="1" x14ac:dyDescent="0.35">
      <c r="A37" s="2">
        <v>36</v>
      </c>
      <c r="B37" s="3">
        <v>16909</v>
      </c>
      <c r="C37" s="8">
        <v>117616000696</v>
      </c>
      <c r="D37" s="4" t="s">
        <v>512</v>
      </c>
      <c r="E37" s="2" t="s">
        <v>513</v>
      </c>
      <c r="F37" s="2" t="s">
        <v>13</v>
      </c>
      <c r="G37" s="2" t="s">
        <v>416</v>
      </c>
      <c r="H37" s="7">
        <v>45053</v>
      </c>
      <c r="I37" s="7" t="s">
        <v>466</v>
      </c>
      <c r="J37" s="2">
        <v>1</v>
      </c>
      <c r="K37" s="2" t="s">
        <v>514</v>
      </c>
    </row>
    <row r="38" spans="1:11" ht="36" customHeight="1" x14ac:dyDescent="0.35">
      <c r="A38" s="2">
        <v>37</v>
      </c>
      <c r="B38" s="3">
        <v>10229</v>
      </c>
      <c r="C38" s="8">
        <v>117653000647</v>
      </c>
      <c r="D38" s="4" t="s">
        <v>516</v>
      </c>
      <c r="E38" s="2" t="s">
        <v>517</v>
      </c>
      <c r="F38" s="2" t="s">
        <v>13</v>
      </c>
      <c r="G38" s="2" t="s">
        <v>416</v>
      </c>
      <c r="H38" s="7">
        <v>45053</v>
      </c>
      <c r="I38" s="7" t="s">
        <v>466</v>
      </c>
      <c r="J38" s="2">
        <v>1</v>
      </c>
      <c r="K38" s="2" t="s">
        <v>518</v>
      </c>
    </row>
    <row r="39" spans="1:11" ht="36" customHeight="1" x14ac:dyDescent="0.35">
      <c r="A39" s="2">
        <v>38</v>
      </c>
      <c r="B39" s="3">
        <v>10229</v>
      </c>
      <c r="C39" s="8">
        <v>117653000647</v>
      </c>
      <c r="D39" s="4" t="s">
        <v>516</v>
      </c>
      <c r="E39" s="2" t="s">
        <v>517</v>
      </c>
      <c r="F39" s="2" t="s">
        <v>13</v>
      </c>
      <c r="G39" s="2" t="s">
        <v>416</v>
      </c>
      <c r="H39" s="7">
        <v>45053</v>
      </c>
      <c r="I39" s="7" t="s">
        <v>466</v>
      </c>
      <c r="J39" s="2">
        <v>1</v>
      </c>
      <c r="K39" s="2" t="s">
        <v>519</v>
      </c>
    </row>
    <row r="40" spans="1:11" ht="36" customHeight="1" x14ac:dyDescent="0.35">
      <c r="A40" s="2">
        <v>39</v>
      </c>
      <c r="B40" s="3">
        <v>10229</v>
      </c>
      <c r="C40" s="8">
        <v>117653000647</v>
      </c>
      <c r="D40" s="4" t="s">
        <v>516</v>
      </c>
      <c r="E40" s="2" t="s">
        <v>517</v>
      </c>
      <c r="F40" s="2" t="s">
        <v>13</v>
      </c>
      <c r="G40" s="2" t="s">
        <v>416</v>
      </c>
      <c r="H40" s="7">
        <v>45053</v>
      </c>
      <c r="I40" s="7" t="s">
        <v>466</v>
      </c>
      <c r="J40" s="2">
        <v>1</v>
      </c>
      <c r="K40" s="2" t="s">
        <v>520</v>
      </c>
    </row>
    <row r="41" spans="1:11" ht="36" customHeight="1" x14ac:dyDescent="0.35">
      <c r="A41" s="2">
        <v>40</v>
      </c>
      <c r="B41" s="3">
        <v>10229</v>
      </c>
      <c r="C41" s="8">
        <v>117653000647</v>
      </c>
      <c r="D41" s="4" t="s">
        <v>516</v>
      </c>
      <c r="E41" s="2" t="s">
        <v>517</v>
      </c>
      <c r="F41" s="2" t="s">
        <v>13</v>
      </c>
      <c r="G41" s="2" t="s">
        <v>416</v>
      </c>
      <c r="H41" s="7">
        <v>45053</v>
      </c>
      <c r="I41" s="7" t="s">
        <v>466</v>
      </c>
      <c r="J41" s="2">
        <v>1</v>
      </c>
      <c r="K41" s="2" t="s">
        <v>521</v>
      </c>
    </row>
    <row r="42" spans="1:11" ht="36" customHeight="1" x14ac:dyDescent="0.35">
      <c r="A42" s="2">
        <v>41</v>
      </c>
      <c r="B42" s="3">
        <v>10229</v>
      </c>
      <c r="C42" s="8">
        <v>117653000647</v>
      </c>
      <c r="D42" s="4" t="s">
        <v>516</v>
      </c>
      <c r="E42" s="2" t="s">
        <v>517</v>
      </c>
      <c r="F42" s="2" t="s">
        <v>13</v>
      </c>
      <c r="G42" s="2" t="s">
        <v>416</v>
      </c>
      <c r="H42" s="7">
        <v>45053</v>
      </c>
      <c r="I42" s="7" t="s">
        <v>466</v>
      </c>
      <c r="J42" s="2">
        <v>1</v>
      </c>
      <c r="K42" s="2" t="s">
        <v>522</v>
      </c>
    </row>
    <row r="43" spans="1:11" ht="36" customHeight="1" x14ac:dyDescent="0.35">
      <c r="A43" s="2">
        <v>42</v>
      </c>
      <c r="B43" s="3">
        <v>10229</v>
      </c>
      <c r="C43" s="8">
        <v>117653000647</v>
      </c>
      <c r="D43" s="4" t="s">
        <v>516</v>
      </c>
      <c r="E43" s="2" t="s">
        <v>517</v>
      </c>
      <c r="F43" s="2" t="s">
        <v>13</v>
      </c>
      <c r="G43" s="2" t="s">
        <v>416</v>
      </c>
      <c r="H43" s="7">
        <v>45053</v>
      </c>
      <c r="I43" s="7" t="s">
        <v>466</v>
      </c>
      <c r="J43" s="2">
        <v>1</v>
      </c>
      <c r="K43" s="2" t="s">
        <v>523</v>
      </c>
    </row>
    <row r="44" spans="1:11" ht="36" customHeight="1" x14ac:dyDescent="0.35">
      <c r="A44" s="2">
        <v>43</v>
      </c>
      <c r="B44" s="3">
        <v>10229</v>
      </c>
      <c r="C44" s="8">
        <v>117653000647</v>
      </c>
      <c r="D44" s="4" t="s">
        <v>516</v>
      </c>
      <c r="E44" s="2" t="s">
        <v>517</v>
      </c>
      <c r="F44" s="2" t="s">
        <v>13</v>
      </c>
      <c r="G44" s="2" t="s">
        <v>416</v>
      </c>
      <c r="H44" s="7">
        <v>45053</v>
      </c>
      <c r="I44" s="7" t="s">
        <v>466</v>
      </c>
      <c r="J44" s="2">
        <v>1</v>
      </c>
      <c r="K44" s="2" t="s">
        <v>524</v>
      </c>
    </row>
    <row r="45" spans="1:11" ht="36" customHeight="1" x14ac:dyDescent="0.35">
      <c r="A45" s="2">
        <v>44</v>
      </c>
      <c r="B45" s="3">
        <v>10229</v>
      </c>
      <c r="C45" s="8">
        <v>117653000647</v>
      </c>
      <c r="D45" s="4" t="s">
        <v>516</v>
      </c>
      <c r="E45" s="2" t="s">
        <v>517</v>
      </c>
      <c r="F45" s="2" t="s">
        <v>13</v>
      </c>
      <c r="G45" s="2" t="s">
        <v>416</v>
      </c>
      <c r="H45" s="7">
        <v>45053</v>
      </c>
      <c r="I45" s="7" t="s">
        <v>466</v>
      </c>
      <c r="J45" s="2">
        <v>1</v>
      </c>
      <c r="K45" s="2" t="s">
        <v>525</v>
      </c>
    </row>
    <row r="46" spans="1:11" ht="36" customHeight="1" x14ac:dyDescent="0.35">
      <c r="A46" s="2">
        <v>45</v>
      </c>
      <c r="B46" s="3">
        <v>10229</v>
      </c>
      <c r="C46" s="8">
        <v>117653000647</v>
      </c>
      <c r="D46" s="4" t="s">
        <v>516</v>
      </c>
      <c r="E46" s="2" t="s">
        <v>517</v>
      </c>
      <c r="F46" s="2" t="s">
        <v>13</v>
      </c>
      <c r="G46" s="2" t="s">
        <v>416</v>
      </c>
      <c r="H46" s="7">
        <v>45053</v>
      </c>
      <c r="I46" s="7" t="s">
        <v>466</v>
      </c>
      <c r="J46" s="2">
        <v>1</v>
      </c>
      <c r="K46" s="2" t="s">
        <v>526</v>
      </c>
    </row>
    <row r="47" spans="1:11" ht="36" customHeight="1" x14ac:dyDescent="0.35">
      <c r="A47" s="2">
        <v>46</v>
      </c>
      <c r="B47" s="3">
        <v>10229</v>
      </c>
      <c r="C47" s="8">
        <v>117653000647</v>
      </c>
      <c r="D47" s="4" t="s">
        <v>516</v>
      </c>
      <c r="E47" s="2" t="s">
        <v>517</v>
      </c>
      <c r="F47" s="2" t="s">
        <v>13</v>
      </c>
      <c r="G47" s="2" t="s">
        <v>416</v>
      </c>
      <c r="H47" s="7">
        <v>45053</v>
      </c>
      <c r="I47" s="7" t="s">
        <v>466</v>
      </c>
      <c r="J47" s="2">
        <v>1</v>
      </c>
      <c r="K47" s="2" t="s">
        <v>527</v>
      </c>
    </row>
    <row r="48" spans="1:11" ht="36" customHeight="1" x14ac:dyDescent="0.35">
      <c r="A48" s="2">
        <v>47</v>
      </c>
      <c r="B48" s="3">
        <v>94788</v>
      </c>
      <c r="C48" s="8">
        <v>117662002792</v>
      </c>
      <c r="D48" s="4" t="s">
        <v>528</v>
      </c>
      <c r="E48" s="2" t="s">
        <v>458</v>
      </c>
      <c r="F48" s="2" t="s">
        <v>13</v>
      </c>
      <c r="G48" s="2" t="s">
        <v>416</v>
      </c>
      <c r="H48" s="7">
        <v>45053</v>
      </c>
      <c r="I48" s="7" t="s">
        <v>466</v>
      </c>
      <c r="J48" s="2">
        <v>1</v>
      </c>
      <c r="K48" s="2" t="s">
        <v>529</v>
      </c>
    </row>
    <row r="49" spans="1:11" ht="36" customHeight="1" x14ac:dyDescent="0.35">
      <c r="A49" s="2">
        <v>48</v>
      </c>
      <c r="B49" s="3">
        <v>94788</v>
      </c>
      <c r="C49" s="8">
        <v>117662002792</v>
      </c>
      <c r="D49" s="4" t="s">
        <v>528</v>
      </c>
      <c r="E49" s="2" t="s">
        <v>458</v>
      </c>
      <c r="F49" s="2" t="s">
        <v>13</v>
      </c>
      <c r="G49" s="2" t="s">
        <v>416</v>
      </c>
      <c r="H49" s="7">
        <v>45053</v>
      </c>
      <c r="I49" s="7" t="s">
        <v>466</v>
      </c>
      <c r="J49" s="2">
        <v>1</v>
      </c>
      <c r="K49" s="2" t="s">
        <v>530</v>
      </c>
    </row>
    <row r="50" spans="1:11" ht="36" customHeight="1" x14ac:dyDescent="0.35">
      <c r="A50" s="2">
        <v>49</v>
      </c>
      <c r="B50" s="3">
        <v>94788</v>
      </c>
      <c r="C50" s="8">
        <v>117662002792</v>
      </c>
      <c r="D50" s="4" t="s">
        <v>528</v>
      </c>
      <c r="E50" s="2" t="s">
        <v>458</v>
      </c>
      <c r="F50" s="2" t="s">
        <v>13</v>
      </c>
      <c r="G50" s="2" t="s">
        <v>416</v>
      </c>
      <c r="H50" s="7">
        <v>45053</v>
      </c>
      <c r="I50" s="7" t="s">
        <v>466</v>
      </c>
      <c r="J50" s="2">
        <v>1</v>
      </c>
      <c r="K50" s="2" t="s">
        <v>531</v>
      </c>
    </row>
    <row r="51" spans="1:11" ht="36" customHeight="1" x14ac:dyDescent="0.35">
      <c r="A51" s="2">
        <v>50</v>
      </c>
      <c r="B51" s="3">
        <v>94788</v>
      </c>
      <c r="C51" s="8">
        <v>117662002792</v>
      </c>
      <c r="D51" s="4" t="s">
        <v>528</v>
      </c>
      <c r="E51" s="2" t="s">
        <v>458</v>
      </c>
      <c r="F51" s="2" t="s">
        <v>13</v>
      </c>
      <c r="G51" s="2" t="s">
        <v>416</v>
      </c>
      <c r="H51" s="7">
        <v>45053</v>
      </c>
      <c r="I51" s="7" t="s">
        <v>466</v>
      </c>
      <c r="J51" s="2">
        <v>1</v>
      </c>
      <c r="K51" s="2" t="s">
        <v>532</v>
      </c>
    </row>
    <row r="52" spans="1:11" ht="36" customHeight="1" x14ac:dyDescent="0.35">
      <c r="A52" s="2">
        <v>51</v>
      </c>
      <c r="B52" s="3">
        <v>94788</v>
      </c>
      <c r="C52" s="8">
        <v>117662002792</v>
      </c>
      <c r="D52" s="4" t="s">
        <v>528</v>
      </c>
      <c r="E52" s="2" t="s">
        <v>458</v>
      </c>
      <c r="F52" s="2" t="s">
        <v>13</v>
      </c>
      <c r="G52" s="2" t="s">
        <v>416</v>
      </c>
      <c r="H52" s="7">
        <v>45053</v>
      </c>
      <c r="I52" s="7" t="s">
        <v>466</v>
      </c>
      <c r="J52" s="2">
        <v>1</v>
      </c>
      <c r="K52" s="2" t="s">
        <v>533</v>
      </c>
    </row>
    <row r="53" spans="1:11" ht="36" customHeight="1" x14ac:dyDescent="0.35">
      <c r="A53" s="2">
        <v>52</v>
      </c>
      <c r="B53" s="3">
        <v>94788</v>
      </c>
      <c r="C53" s="8">
        <v>117662002792</v>
      </c>
      <c r="D53" s="4" t="s">
        <v>528</v>
      </c>
      <c r="E53" s="2" t="s">
        <v>458</v>
      </c>
      <c r="F53" s="2" t="s">
        <v>13</v>
      </c>
      <c r="G53" s="2" t="s">
        <v>416</v>
      </c>
      <c r="H53" s="7">
        <v>45053</v>
      </c>
      <c r="I53" s="7" t="s">
        <v>466</v>
      </c>
      <c r="J53" s="2">
        <v>1</v>
      </c>
      <c r="K53" s="2" t="s">
        <v>534</v>
      </c>
    </row>
    <row r="54" spans="1:11" ht="36" customHeight="1" x14ac:dyDescent="0.35">
      <c r="A54" s="2">
        <v>53</v>
      </c>
      <c r="B54" s="3">
        <v>94788</v>
      </c>
      <c r="C54" s="8">
        <v>117662002792</v>
      </c>
      <c r="D54" s="4" t="s">
        <v>528</v>
      </c>
      <c r="E54" s="2" t="s">
        <v>458</v>
      </c>
      <c r="F54" s="2" t="s">
        <v>13</v>
      </c>
      <c r="G54" s="2" t="s">
        <v>416</v>
      </c>
      <c r="H54" s="7">
        <v>45053</v>
      </c>
      <c r="I54" s="7" t="s">
        <v>466</v>
      </c>
      <c r="J54" s="2">
        <v>1</v>
      </c>
      <c r="K54" s="2" t="s">
        <v>535</v>
      </c>
    </row>
    <row r="55" spans="1:11" ht="36" customHeight="1" x14ac:dyDescent="0.35">
      <c r="A55" s="2">
        <v>54</v>
      </c>
      <c r="B55" s="3">
        <v>33370</v>
      </c>
      <c r="C55" s="8">
        <v>217662000964</v>
      </c>
      <c r="D55" s="4" t="s">
        <v>462</v>
      </c>
      <c r="E55" s="2" t="s">
        <v>458</v>
      </c>
      <c r="F55" s="2" t="s">
        <v>13</v>
      </c>
      <c r="G55" s="2" t="s">
        <v>416</v>
      </c>
      <c r="H55" s="7">
        <v>45053</v>
      </c>
      <c r="I55" s="7" t="s">
        <v>466</v>
      </c>
      <c r="J55" s="2">
        <v>1</v>
      </c>
      <c r="K55" s="2" t="s">
        <v>536</v>
      </c>
    </row>
    <row r="56" spans="1:11" ht="36" customHeight="1" x14ac:dyDescent="0.35">
      <c r="A56" s="2">
        <v>55</v>
      </c>
      <c r="B56" s="3">
        <v>21883</v>
      </c>
      <c r="C56" s="8">
        <v>117877000103</v>
      </c>
      <c r="D56" s="4" t="s">
        <v>537</v>
      </c>
      <c r="E56" s="2" t="s">
        <v>538</v>
      </c>
      <c r="F56" s="2" t="s">
        <v>13</v>
      </c>
      <c r="G56" s="2" t="s">
        <v>416</v>
      </c>
      <c r="H56" s="7">
        <v>45053</v>
      </c>
      <c r="I56" s="7" t="s">
        <v>466</v>
      </c>
      <c r="J56" s="2">
        <v>1</v>
      </c>
      <c r="K56" s="2" t="s">
        <v>539</v>
      </c>
    </row>
    <row r="57" spans="1:11" ht="36" customHeight="1" x14ac:dyDescent="0.35">
      <c r="A57" s="2">
        <v>56</v>
      </c>
      <c r="B57" s="3">
        <v>21883</v>
      </c>
      <c r="C57" s="8">
        <v>117877000103</v>
      </c>
      <c r="D57" s="4" t="s">
        <v>537</v>
      </c>
      <c r="E57" s="2" t="s">
        <v>538</v>
      </c>
      <c r="F57" s="2" t="s">
        <v>13</v>
      </c>
      <c r="G57" s="2" t="s">
        <v>416</v>
      </c>
      <c r="H57" s="7">
        <v>45053</v>
      </c>
      <c r="I57" s="7" t="s">
        <v>466</v>
      </c>
      <c r="J57" s="2">
        <v>1</v>
      </c>
      <c r="K57" s="2" t="s">
        <v>540</v>
      </c>
    </row>
    <row r="58" spans="1:11" ht="36" customHeight="1" x14ac:dyDescent="0.35">
      <c r="A58" s="2">
        <v>57</v>
      </c>
      <c r="B58" s="3">
        <v>21883</v>
      </c>
      <c r="C58" s="8">
        <v>117877000103</v>
      </c>
      <c r="D58" s="4" t="s">
        <v>537</v>
      </c>
      <c r="E58" s="2" t="s">
        <v>538</v>
      </c>
      <c r="F58" s="2" t="s">
        <v>13</v>
      </c>
      <c r="G58" s="2" t="s">
        <v>416</v>
      </c>
      <c r="H58" s="7">
        <v>45053</v>
      </c>
      <c r="I58" s="7" t="s">
        <v>466</v>
      </c>
      <c r="J58" s="2">
        <v>1</v>
      </c>
      <c r="K58" s="2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8"/>
  <sheetViews>
    <sheetView workbookViewId="0"/>
  </sheetViews>
  <sheetFormatPr baseColWidth="10" defaultRowHeight="14.5" x14ac:dyDescent="0.35"/>
  <cols>
    <col min="3" max="3" width="15.453125" style="10" bestFit="1" customWidth="1"/>
    <col min="4" max="4" width="43.81640625" style="10" customWidth="1"/>
    <col min="5" max="5" width="40.1796875" customWidth="1"/>
    <col min="9" max="9" width="44.54296875" customWidth="1"/>
  </cols>
  <sheetData>
    <row r="1" spans="1:11" ht="24" customHeight="1" x14ac:dyDescent="0.35">
      <c r="A1" s="11" t="s">
        <v>0</v>
      </c>
      <c r="B1" s="11" t="s">
        <v>1</v>
      </c>
      <c r="C1" s="2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26" customHeight="1" x14ac:dyDescent="0.35">
      <c r="A2" s="12">
        <v>1</v>
      </c>
      <c r="B2" s="13">
        <v>84716</v>
      </c>
      <c r="C2" s="21">
        <v>217614000723</v>
      </c>
      <c r="D2" s="14" t="s">
        <v>11</v>
      </c>
      <c r="E2" s="12" t="s">
        <v>12</v>
      </c>
      <c r="F2" s="12" t="s">
        <v>13</v>
      </c>
      <c r="G2" s="15" t="s">
        <v>14</v>
      </c>
      <c r="H2" s="16">
        <v>45055</v>
      </c>
      <c r="I2" s="16" t="s">
        <v>15</v>
      </c>
      <c r="J2" s="12">
        <v>1</v>
      </c>
      <c r="K2" s="12" t="s">
        <v>16</v>
      </c>
    </row>
    <row r="3" spans="1:11" ht="26" customHeight="1" x14ac:dyDescent="0.35">
      <c r="A3" s="12">
        <v>2</v>
      </c>
      <c r="B3" s="13">
        <v>84716</v>
      </c>
      <c r="C3" s="21">
        <v>217614000723</v>
      </c>
      <c r="D3" s="14" t="s">
        <v>11</v>
      </c>
      <c r="E3" s="12" t="s">
        <v>12</v>
      </c>
      <c r="F3" s="12" t="s">
        <v>13</v>
      </c>
      <c r="G3" s="15" t="s">
        <v>14</v>
      </c>
      <c r="H3" s="16">
        <v>45056</v>
      </c>
      <c r="I3" s="16" t="s">
        <v>17</v>
      </c>
      <c r="J3" s="12">
        <v>1</v>
      </c>
      <c r="K3" s="12" t="s">
        <v>18</v>
      </c>
    </row>
    <row r="4" spans="1:11" ht="29" customHeight="1" x14ac:dyDescent="0.35">
      <c r="A4" s="12">
        <v>3</v>
      </c>
      <c r="B4" s="13">
        <v>84716</v>
      </c>
      <c r="C4" s="21">
        <v>217614000723</v>
      </c>
      <c r="D4" s="14" t="s">
        <v>11</v>
      </c>
      <c r="E4" s="12" t="s">
        <v>12</v>
      </c>
      <c r="F4" s="12" t="s">
        <v>13</v>
      </c>
      <c r="G4" s="15" t="s">
        <v>14</v>
      </c>
      <c r="H4" s="16">
        <v>45117</v>
      </c>
      <c r="I4" s="17" t="s">
        <v>19</v>
      </c>
      <c r="J4" s="12">
        <v>1</v>
      </c>
      <c r="K4" s="12" t="s">
        <v>20</v>
      </c>
    </row>
    <row r="5" spans="1:11" ht="29" customHeight="1" x14ac:dyDescent="0.35">
      <c r="A5" s="12">
        <v>4</v>
      </c>
      <c r="B5" s="13">
        <v>84716</v>
      </c>
      <c r="C5" s="21">
        <v>217614000723</v>
      </c>
      <c r="D5" s="14" t="s">
        <v>11</v>
      </c>
      <c r="E5" s="12" t="s">
        <v>12</v>
      </c>
      <c r="F5" s="12" t="s">
        <v>13</v>
      </c>
      <c r="G5" s="15" t="s">
        <v>14</v>
      </c>
      <c r="H5" s="16">
        <v>45117</v>
      </c>
      <c r="I5" s="17" t="s">
        <v>19</v>
      </c>
      <c r="J5" s="12">
        <v>1</v>
      </c>
      <c r="K5" s="12" t="s">
        <v>21</v>
      </c>
    </row>
    <row r="6" spans="1:11" ht="29" customHeight="1" x14ac:dyDescent="0.35">
      <c r="A6" s="12">
        <v>5</v>
      </c>
      <c r="B6" s="13">
        <v>84716</v>
      </c>
      <c r="C6" s="21">
        <v>217614000723</v>
      </c>
      <c r="D6" s="14" t="s">
        <v>11</v>
      </c>
      <c r="E6" s="12" t="s">
        <v>12</v>
      </c>
      <c r="F6" s="12" t="s">
        <v>13</v>
      </c>
      <c r="G6" s="15" t="s">
        <v>14</v>
      </c>
      <c r="H6" s="16">
        <v>45117</v>
      </c>
      <c r="I6" s="17" t="s">
        <v>19</v>
      </c>
      <c r="J6" s="12">
        <v>1</v>
      </c>
      <c r="K6" s="12" t="s">
        <v>22</v>
      </c>
    </row>
    <row r="7" spans="1:11" ht="29" customHeight="1" x14ac:dyDescent="0.35">
      <c r="A7" s="12">
        <v>6</v>
      </c>
      <c r="B7" s="13">
        <v>84716</v>
      </c>
      <c r="C7" s="21">
        <v>217614000723</v>
      </c>
      <c r="D7" s="14" t="s">
        <v>11</v>
      </c>
      <c r="E7" s="12" t="s">
        <v>12</v>
      </c>
      <c r="F7" s="12" t="s">
        <v>13</v>
      </c>
      <c r="G7" s="15" t="s">
        <v>14</v>
      </c>
      <c r="H7" s="16">
        <v>45117</v>
      </c>
      <c r="I7" s="17" t="s">
        <v>19</v>
      </c>
      <c r="J7" s="12">
        <v>1</v>
      </c>
      <c r="K7" s="12" t="s">
        <v>23</v>
      </c>
    </row>
    <row r="8" spans="1:11" ht="39" customHeight="1" x14ac:dyDescent="0.35">
      <c r="A8" s="12">
        <v>7</v>
      </c>
      <c r="B8" s="13">
        <v>18811</v>
      </c>
      <c r="C8" s="21">
        <v>217272000106</v>
      </c>
      <c r="D8" s="14" t="s">
        <v>24</v>
      </c>
      <c r="E8" s="12" t="s">
        <v>25</v>
      </c>
      <c r="F8" s="12" t="s">
        <v>13</v>
      </c>
      <c r="G8" s="15" t="s">
        <v>14</v>
      </c>
      <c r="H8" s="16">
        <v>45056</v>
      </c>
      <c r="I8" s="16" t="s">
        <v>17</v>
      </c>
      <c r="J8" s="12">
        <v>1</v>
      </c>
      <c r="K8" s="12" t="s">
        <v>26</v>
      </c>
    </row>
    <row r="9" spans="1:11" ht="39" customHeight="1" x14ac:dyDescent="0.35">
      <c r="A9" s="12">
        <v>8</v>
      </c>
      <c r="B9" s="13">
        <v>18811</v>
      </c>
      <c r="C9" s="21">
        <v>217272000106</v>
      </c>
      <c r="D9" s="14" t="s">
        <v>24</v>
      </c>
      <c r="E9" s="12" t="s">
        <v>25</v>
      </c>
      <c r="F9" s="12" t="s">
        <v>13</v>
      </c>
      <c r="G9" s="15" t="s">
        <v>14</v>
      </c>
      <c r="H9" s="16">
        <v>45083</v>
      </c>
      <c r="I9" s="16" t="s">
        <v>27</v>
      </c>
      <c r="J9" s="12">
        <v>1</v>
      </c>
      <c r="K9" s="18" t="s">
        <v>28</v>
      </c>
    </row>
    <row r="10" spans="1:11" ht="39" customHeight="1" x14ac:dyDescent="0.35">
      <c r="A10" s="12">
        <v>9</v>
      </c>
      <c r="B10" s="13">
        <v>18811</v>
      </c>
      <c r="C10" s="21">
        <v>217272000106</v>
      </c>
      <c r="D10" s="14" t="s">
        <v>24</v>
      </c>
      <c r="E10" s="12" t="s">
        <v>25</v>
      </c>
      <c r="F10" s="12" t="s">
        <v>13</v>
      </c>
      <c r="G10" s="15" t="s">
        <v>14</v>
      </c>
      <c r="H10" s="16">
        <v>45083</v>
      </c>
      <c r="I10" s="16" t="s">
        <v>27</v>
      </c>
      <c r="J10" s="12">
        <v>1</v>
      </c>
      <c r="K10" s="18" t="s">
        <v>29</v>
      </c>
    </row>
    <row r="11" spans="1:11" ht="39" customHeight="1" x14ac:dyDescent="0.35">
      <c r="A11" s="12">
        <v>10</v>
      </c>
      <c r="B11" s="13">
        <v>18811</v>
      </c>
      <c r="C11" s="21">
        <v>217272000106</v>
      </c>
      <c r="D11" s="14" t="s">
        <v>24</v>
      </c>
      <c r="E11" s="12" t="s">
        <v>25</v>
      </c>
      <c r="F11" s="12" t="s">
        <v>13</v>
      </c>
      <c r="G11" s="15" t="s">
        <v>14</v>
      </c>
      <c r="H11" s="16">
        <v>45083</v>
      </c>
      <c r="I11" s="16" t="s">
        <v>27</v>
      </c>
      <c r="J11" s="12">
        <v>1</v>
      </c>
      <c r="K11" s="18" t="s">
        <v>30</v>
      </c>
    </row>
    <row r="12" spans="1:11" ht="39" customHeight="1" x14ac:dyDescent="0.35">
      <c r="A12" s="12">
        <v>11</v>
      </c>
      <c r="B12" s="13">
        <v>18811</v>
      </c>
      <c r="C12" s="21">
        <v>217272000106</v>
      </c>
      <c r="D12" s="14" t="s">
        <v>24</v>
      </c>
      <c r="E12" s="12" t="s">
        <v>25</v>
      </c>
      <c r="F12" s="12" t="s">
        <v>13</v>
      </c>
      <c r="G12" s="15" t="s">
        <v>14</v>
      </c>
      <c r="H12" s="16">
        <v>45083</v>
      </c>
      <c r="I12" s="16" t="s">
        <v>27</v>
      </c>
      <c r="J12" s="12">
        <v>1</v>
      </c>
      <c r="K12" s="18" t="s">
        <v>31</v>
      </c>
    </row>
    <row r="13" spans="1:11" ht="39" customHeight="1" x14ac:dyDescent="0.35">
      <c r="A13" s="12">
        <v>12</v>
      </c>
      <c r="B13" s="13">
        <v>18811</v>
      </c>
      <c r="C13" s="21">
        <v>217272000106</v>
      </c>
      <c r="D13" s="14" t="s">
        <v>24</v>
      </c>
      <c r="E13" s="12" t="s">
        <v>25</v>
      </c>
      <c r="F13" s="12" t="s">
        <v>13</v>
      </c>
      <c r="G13" s="15" t="s">
        <v>14</v>
      </c>
      <c r="H13" s="16">
        <v>45083</v>
      </c>
      <c r="I13" s="16" t="s">
        <v>27</v>
      </c>
      <c r="J13" s="12">
        <v>1</v>
      </c>
      <c r="K13" s="18" t="s">
        <v>32</v>
      </c>
    </row>
    <row r="14" spans="1:11" ht="39" customHeight="1" x14ac:dyDescent="0.35">
      <c r="A14" s="12">
        <v>13</v>
      </c>
      <c r="B14" s="13">
        <v>18811</v>
      </c>
      <c r="C14" s="21">
        <v>217272000106</v>
      </c>
      <c r="D14" s="14" t="s">
        <v>24</v>
      </c>
      <c r="E14" s="12" t="s">
        <v>25</v>
      </c>
      <c r="F14" s="12" t="s">
        <v>13</v>
      </c>
      <c r="G14" s="15" t="s">
        <v>14</v>
      </c>
      <c r="H14" s="16">
        <v>45117</v>
      </c>
      <c r="I14" s="17" t="s">
        <v>19</v>
      </c>
      <c r="J14" s="12">
        <v>1</v>
      </c>
      <c r="K14" s="18" t="s">
        <v>33</v>
      </c>
    </row>
    <row r="15" spans="1:11" ht="39" customHeight="1" x14ac:dyDescent="0.35">
      <c r="A15" s="12">
        <v>14</v>
      </c>
      <c r="B15" s="13">
        <v>18811</v>
      </c>
      <c r="C15" s="21">
        <v>217272000106</v>
      </c>
      <c r="D15" s="14" t="s">
        <v>24</v>
      </c>
      <c r="E15" s="12" t="s">
        <v>25</v>
      </c>
      <c r="F15" s="12" t="s">
        <v>13</v>
      </c>
      <c r="G15" s="15" t="s">
        <v>14</v>
      </c>
      <c r="H15" s="16">
        <v>45117</v>
      </c>
      <c r="I15" s="17" t="s">
        <v>19</v>
      </c>
      <c r="J15" s="12">
        <v>1</v>
      </c>
      <c r="K15" s="18" t="s">
        <v>34</v>
      </c>
    </row>
    <row r="16" spans="1:11" ht="39" customHeight="1" x14ac:dyDescent="0.35">
      <c r="A16" s="12">
        <v>15</v>
      </c>
      <c r="B16" s="13">
        <v>18811</v>
      </c>
      <c r="C16" s="21">
        <v>217272000106</v>
      </c>
      <c r="D16" s="14" t="s">
        <v>24</v>
      </c>
      <c r="E16" s="12" t="s">
        <v>25</v>
      </c>
      <c r="F16" s="12" t="s">
        <v>13</v>
      </c>
      <c r="G16" s="15" t="s">
        <v>14</v>
      </c>
      <c r="H16" s="16">
        <v>45117</v>
      </c>
      <c r="I16" s="17" t="s">
        <v>19</v>
      </c>
      <c r="J16" s="12">
        <v>1</v>
      </c>
      <c r="K16" s="18" t="s">
        <v>35</v>
      </c>
    </row>
    <row r="17" spans="1:11" ht="39" customHeight="1" x14ac:dyDescent="0.35">
      <c r="A17" s="12">
        <v>16</v>
      </c>
      <c r="B17" s="13">
        <v>18811</v>
      </c>
      <c r="C17" s="21">
        <v>217272000106</v>
      </c>
      <c r="D17" s="14" t="s">
        <v>24</v>
      </c>
      <c r="E17" s="12" t="s">
        <v>25</v>
      </c>
      <c r="F17" s="12" t="s">
        <v>13</v>
      </c>
      <c r="G17" s="15" t="s">
        <v>14</v>
      </c>
      <c r="H17" s="16">
        <v>45117</v>
      </c>
      <c r="I17" s="17" t="s">
        <v>19</v>
      </c>
      <c r="J17" s="12">
        <v>1</v>
      </c>
      <c r="K17" s="18" t="s">
        <v>36</v>
      </c>
    </row>
    <row r="18" spans="1:11" ht="39" customHeight="1" x14ac:dyDescent="0.35">
      <c r="A18" s="12">
        <v>17</v>
      </c>
      <c r="B18" s="13">
        <v>18811</v>
      </c>
      <c r="C18" s="21">
        <v>217272000106</v>
      </c>
      <c r="D18" s="14" t="s">
        <v>24</v>
      </c>
      <c r="E18" s="12" t="s">
        <v>25</v>
      </c>
      <c r="F18" s="12" t="s">
        <v>13</v>
      </c>
      <c r="G18" s="15" t="s">
        <v>14</v>
      </c>
      <c r="H18" s="16">
        <v>45117</v>
      </c>
      <c r="I18" s="17" t="s">
        <v>19</v>
      </c>
      <c r="J18" s="12">
        <v>1</v>
      </c>
      <c r="K18" s="18" t="s">
        <v>37</v>
      </c>
    </row>
    <row r="19" spans="1:11" ht="26" customHeight="1" x14ac:dyDescent="0.35">
      <c r="A19" s="12">
        <v>18</v>
      </c>
      <c r="B19" s="13">
        <v>9088</v>
      </c>
      <c r="C19" s="21">
        <v>217042000255</v>
      </c>
      <c r="D19" s="14" t="s">
        <v>38</v>
      </c>
      <c r="E19" s="12" t="s">
        <v>39</v>
      </c>
      <c r="F19" s="12" t="s">
        <v>13</v>
      </c>
      <c r="G19" s="15" t="s">
        <v>14</v>
      </c>
      <c r="H19" s="16">
        <v>45052</v>
      </c>
      <c r="I19" s="16" t="s">
        <v>40</v>
      </c>
      <c r="J19" s="12">
        <v>1</v>
      </c>
      <c r="K19" s="12" t="s">
        <v>41</v>
      </c>
    </row>
    <row r="20" spans="1:11" ht="26" customHeight="1" x14ac:dyDescent="0.35">
      <c r="A20" s="12">
        <v>19</v>
      </c>
      <c r="B20" s="13">
        <v>9088</v>
      </c>
      <c r="C20" s="21">
        <v>217042000255</v>
      </c>
      <c r="D20" s="14" t="s">
        <v>38</v>
      </c>
      <c r="E20" s="12" t="s">
        <v>39</v>
      </c>
      <c r="F20" s="12" t="s">
        <v>13</v>
      </c>
      <c r="G20" s="15" t="s">
        <v>14</v>
      </c>
      <c r="H20" s="16">
        <v>45059</v>
      </c>
      <c r="I20" s="16" t="s">
        <v>42</v>
      </c>
      <c r="J20" s="12">
        <v>1</v>
      </c>
      <c r="K20" s="18" t="s">
        <v>43</v>
      </c>
    </row>
    <row r="21" spans="1:11" ht="26" customHeight="1" x14ac:dyDescent="0.35">
      <c r="A21" s="12">
        <v>20</v>
      </c>
      <c r="B21" s="13">
        <v>9088</v>
      </c>
      <c r="C21" s="21">
        <v>217042000255</v>
      </c>
      <c r="D21" s="14" t="s">
        <v>38</v>
      </c>
      <c r="E21" s="12" t="s">
        <v>39</v>
      </c>
      <c r="F21" s="12" t="s">
        <v>13</v>
      </c>
      <c r="G21" s="15" t="s">
        <v>14</v>
      </c>
      <c r="H21" s="16">
        <v>45090</v>
      </c>
      <c r="I21" s="16" t="s">
        <v>44</v>
      </c>
      <c r="J21" s="12">
        <v>1</v>
      </c>
      <c r="K21" s="18" t="s">
        <v>45</v>
      </c>
    </row>
    <row r="22" spans="1:11" ht="26" customHeight="1" x14ac:dyDescent="0.35">
      <c r="A22" s="12">
        <v>21</v>
      </c>
      <c r="B22" s="13">
        <v>9088</v>
      </c>
      <c r="C22" s="21">
        <v>217042000255</v>
      </c>
      <c r="D22" s="14" t="s">
        <v>38</v>
      </c>
      <c r="E22" s="12" t="s">
        <v>39</v>
      </c>
      <c r="F22" s="12" t="s">
        <v>13</v>
      </c>
      <c r="G22" s="15" t="s">
        <v>14</v>
      </c>
      <c r="H22" s="16">
        <v>45055</v>
      </c>
      <c r="I22" s="16" t="s">
        <v>15</v>
      </c>
      <c r="J22" s="12">
        <v>1</v>
      </c>
      <c r="K22" s="18" t="s">
        <v>46</v>
      </c>
    </row>
    <row r="23" spans="1:11" ht="26" customHeight="1" x14ac:dyDescent="0.35">
      <c r="A23" s="12">
        <v>22</v>
      </c>
      <c r="B23" s="13">
        <v>9088</v>
      </c>
      <c r="C23" s="21">
        <v>217042000255</v>
      </c>
      <c r="D23" s="14" t="s">
        <v>38</v>
      </c>
      <c r="E23" s="12" t="s">
        <v>39</v>
      </c>
      <c r="F23" s="12" t="s">
        <v>13</v>
      </c>
      <c r="G23" s="15" t="s">
        <v>14</v>
      </c>
      <c r="H23" s="16">
        <v>45056</v>
      </c>
      <c r="I23" s="16" t="s">
        <v>17</v>
      </c>
      <c r="J23" s="12">
        <v>1</v>
      </c>
      <c r="K23" s="12" t="s">
        <v>47</v>
      </c>
    </row>
    <row r="24" spans="1:11" ht="26" customHeight="1" x14ac:dyDescent="0.35">
      <c r="A24" s="12">
        <v>23</v>
      </c>
      <c r="B24" s="13">
        <v>32741</v>
      </c>
      <c r="C24" s="21">
        <v>117088000255</v>
      </c>
      <c r="D24" s="14" t="s">
        <v>48</v>
      </c>
      <c r="E24" s="12" t="s">
        <v>49</v>
      </c>
      <c r="F24" s="12" t="s">
        <v>13</v>
      </c>
      <c r="G24" s="15" t="s">
        <v>14</v>
      </c>
      <c r="H24" s="16">
        <v>45054</v>
      </c>
      <c r="I24" s="16" t="s">
        <v>50</v>
      </c>
      <c r="J24" s="12">
        <v>1</v>
      </c>
      <c r="K24" s="12" t="s">
        <v>51</v>
      </c>
    </row>
    <row r="25" spans="1:11" ht="26" customHeight="1" x14ac:dyDescent="0.35">
      <c r="A25" s="12">
        <v>24</v>
      </c>
      <c r="B25" s="13">
        <v>32741</v>
      </c>
      <c r="C25" s="21">
        <v>117088000255</v>
      </c>
      <c r="D25" s="14" t="s">
        <v>48</v>
      </c>
      <c r="E25" s="12" t="s">
        <v>49</v>
      </c>
      <c r="F25" s="12" t="s">
        <v>13</v>
      </c>
      <c r="G25" s="15" t="s">
        <v>14</v>
      </c>
      <c r="H25" s="16">
        <v>45125</v>
      </c>
      <c r="I25" s="16" t="s">
        <v>52</v>
      </c>
      <c r="J25" s="12">
        <v>1</v>
      </c>
      <c r="K25" s="12" t="s">
        <v>53</v>
      </c>
    </row>
    <row r="26" spans="1:11" ht="26" customHeight="1" x14ac:dyDescent="0.35">
      <c r="A26" s="12">
        <v>25</v>
      </c>
      <c r="B26" s="13">
        <v>32741</v>
      </c>
      <c r="C26" s="21">
        <v>117088000255</v>
      </c>
      <c r="D26" s="14" t="s">
        <v>48</v>
      </c>
      <c r="E26" s="12" t="s">
        <v>49</v>
      </c>
      <c r="F26" s="12" t="s">
        <v>13</v>
      </c>
      <c r="G26" s="15" t="s">
        <v>14</v>
      </c>
      <c r="H26" s="16">
        <v>45057</v>
      </c>
      <c r="I26" s="16" t="s">
        <v>54</v>
      </c>
      <c r="J26" s="12">
        <v>1</v>
      </c>
      <c r="K26" s="12" t="s">
        <v>55</v>
      </c>
    </row>
    <row r="27" spans="1:11" ht="39" customHeight="1" x14ac:dyDescent="0.35">
      <c r="A27" s="12">
        <v>26</v>
      </c>
      <c r="B27" s="13">
        <v>18497</v>
      </c>
      <c r="C27" s="21">
        <v>117042000552</v>
      </c>
      <c r="D27" s="14" t="s">
        <v>56</v>
      </c>
      <c r="E27" s="12" t="s">
        <v>39</v>
      </c>
      <c r="F27" s="12" t="s">
        <v>13</v>
      </c>
      <c r="G27" s="15" t="s">
        <v>14</v>
      </c>
      <c r="H27" s="16">
        <v>45076</v>
      </c>
      <c r="I27" s="17" t="s">
        <v>57</v>
      </c>
      <c r="J27" s="12">
        <v>2</v>
      </c>
      <c r="K27" s="12" t="s">
        <v>58</v>
      </c>
    </row>
    <row r="28" spans="1:11" ht="39" customHeight="1" x14ac:dyDescent="0.35">
      <c r="A28" s="12">
        <v>27</v>
      </c>
      <c r="B28" s="13">
        <v>18497</v>
      </c>
      <c r="C28" s="21">
        <v>117042000552</v>
      </c>
      <c r="D28" s="14" t="s">
        <v>56</v>
      </c>
      <c r="E28" s="12" t="s">
        <v>39</v>
      </c>
      <c r="F28" s="12" t="s">
        <v>13</v>
      </c>
      <c r="G28" s="15" t="s">
        <v>14</v>
      </c>
      <c r="H28" s="16">
        <v>45078</v>
      </c>
      <c r="I28" s="16" t="s">
        <v>59</v>
      </c>
      <c r="J28" s="12">
        <v>1</v>
      </c>
      <c r="K28" s="12" t="s">
        <v>60</v>
      </c>
    </row>
    <row r="29" spans="1:11" ht="39" customHeight="1" x14ac:dyDescent="0.35">
      <c r="A29" s="12">
        <v>28</v>
      </c>
      <c r="B29" s="13">
        <v>18497</v>
      </c>
      <c r="C29" s="21">
        <v>117042000552</v>
      </c>
      <c r="D29" s="14" t="s">
        <v>56</v>
      </c>
      <c r="E29" s="12" t="s">
        <v>39</v>
      </c>
      <c r="F29" s="12" t="s">
        <v>13</v>
      </c>
      <c r="G29" s="15" t="s">
        <v>14</v>
      </c>
      <c r="H29" s="16">
        <v>45078</v>
      </c>
      <c r="I29" s="16" t="s">
        <v>59</v>
      </c>
      <c r="J29" s="12">
        <v>1</v>
      </c>
      <c r="K29" s="12" t="s">
        <v>61</v>
      </c>
    </row>
    <row r="30" spans="1:11" ht="39" customHeight="1" x14ac:dyDescent="0.35">
      <c r="A30" s="12">
        <v>29</v>
      </c>
      <c r="B30" s="13">
        <v>18497</v>
      </c>
      <c r="C30" s="21">
        <v>117042000552</v>
      </c>
      <c r="D30" s="14" t="s">
        <v>56</v>
      </c>
      <c r="E30" s="12" t="s">
        <v>39</v>
      </c>
      <c r="F30" s="12" t="s">
        <v>13</v>
      </c>
      <c r="G30" s="15" t="s">
        <v>14</v>
      </c>
      <c r="H30" s="16">
        <v>45078</v>
      </c>
      <c r="I30" s="16" t="s">
        <v>59</v>
      </c>
      <c r="J30" s="12">
        <v>1</v>
      </c>
      <c r="K30" s="12" t="s">
        <v>62</v>
      </c>
    </row>
    <row r="31" spans="1:11" ht="26" customHeight="1" x14ac:dyDescent="0.35">
      <c r="A31" s="12">
        <v>30</v>
      </c>
      <c r="B31" s="13">
        <v>33518</v>
      </c>
      <c r="C31" s="21">
        <v>217873000375</v>
      </c>
      <c r="D31" s="14" t="s">
        <v>63</v>
      </c>
      <c r="E31" s="12" t="s">
        <v>64</v>
      </c>
      <c r="F31" s="12" t="s">
        <v>13</v>
      </c>
      <c r="G31" s="15" t="s">
        <v>14</v>
      </c>
      <c r="H31" s="16">
        <v>45078</v>
      </c>
      <c r="I31" s="16" t="s">
        <v>59</v>
      </c>
      <c r="J31" s="12">
        <v>1</v>
      </c>
      <c r="K31" s="12" t="s">
        <v>65</v>
      </c>
    </row>
    <row r="32" spans="1:11" ht="26" customHeight="1" x14ac:dyDescent="0.35">
      <c r="A32" s="12">
        <v>31</v>
      </c>
      <c r="B32" s="13">
        <v>33518</v>
      </c>
      <c r="C32" s="21">
        <v>217873000375</v>
      </c>
      <c r="D32" s="14" t="s">
        <v>63</v>
      </c>
      <c r="E32" s="12" t="s">
        <v>64</v>
      </c>
      <c r="F32" s="12" t="s">
        <v>13</v>
      </c>
      <c r="G32" s="15" t="s">
        <v>14</v>
      </c>
      <c r="H32" s="16">
        <v>45078</v>
      </c>
      <c r="I32" s="16" t="s">
        <v>59</v>
      </c>
      <c r="J32" s="12">
        <v>1</v>
      </c>
      <c r="K32" s="12" t="s">
        <v>66</v>
      </c>
    </row>
    <row r="33" spans="1:11" ht="26" customHeight="1" x14ac:dyDescent="0.35">
      <c r="A33" s="12">
        <v>32</v>
      </c>
      <c r="B33" s="13">
        <v>33518</v>
      </c>
      <c r="C33" s="21">
        <v>217873000375</v>
      </c>
      <c r="D33" s="14" t="s">
        <v>63</v>
      </c>
      <c r="E33" s="12" t="s">
        <v>64</v>
      </c>
      <c r="F33" s="12" t="s">
        <v>13</v>
      </c>
      <c r="G33" s="15" t="s">
        <v>14</v>
      </c>
      <c r="H33" s="16">
        <v>45083</v>
      </c>
      <c r="I33" s="16" t="s">
        <v>27</v>
      </c>
      <c r="J33" s="12">
        <v>1</v>
      </c>
      <c r="K33" s="12" t="s">
        <v>67</v>
      </c>
    </row>
    <row r="34" spans="1:11" ht="26" customHeight="1" x14ac:dyDescent="0.35">
      <c r="A34" s="12">
        <v>33</v>
      </c>
      <c r="B34" s="13">
        <v>33518</v>
      </c>
      <c r="C34" s="21">
        <v>217873000375</v>
      </c>
      <c r="D34" s="14" t="s">
        <v>63</v>
      </c>
      <c r="E34" s="12" t="s">
        <v>64</v>
      </c>
      <c r="F34" s="12" t="s">
        <v>13</v>
      </c>
      <c r="G34" s="15" t="s">
        <v>14</v>
      </c>
      <c r="H34" s="16">
        <v>45083</v>
      </c>
      <c r="I34" s="16" t="s">
        <v>27</v>
      </c>
      <c r="J34" s="12">
        <v>1</v>
      </c>
      <c r="K34" s="12" t="s">
        <v>68</v>
      </c>
    </row>
    <row r="35" spans="1:11" ht="26" customHeight="1" x14ac:dyDescent="0.35">
      <c r="A35" s="12">
        <v>34</v>
      </c>
      <c r="B35" s="13">
        <v>33518</v>
      </c>
      <c r="C35" s="21">
        <v>217873000375</v>
      </c>
      <c r="D35" s="14" t="s">
        <v>63</v>
      </c>
      <c r="E35" s="12" t="s">
        <v>64</v>
      </c>
      <c r="F35" s="12" t="s">
        <v>13</v>
      </c>
      <c r="G35" s="15" t="s">
        <v>14</v>
      </c>
      <c r="H35" s="16">
        <v>45083</v>
      </c>
      <c r="I35" s="16" t="s">
        <v>27</v>
      </c>
      <c r="J35" s="12">
        <v>1</v>
      </c>
      <c r="K35" s="12" t="s">
        <v>69</v>
      </c>
    </row>
    <row r="36" spans="1:11" ht="26" customHeight="1" x14ac:dyDescent="0.35">
      <c r="A36" s="12">
        <v>35</v>
      </c>
      <c r="B36" s="13">
        <v>690</v>
      </c>
      <c r="C36" s="21">
        <v>117777000734</v>
      </c>
      <c r="D36" s="14" t="s">
        <v>70</v>
      </c>
      <c r="E36" s="12" t="s">
        <v>71</v>
      </c>
      <c r="F36" s="12" t="s">
        <v>13</v>
      </c>
      <c r="G36" s="15" t="s">
        <v>14</v>
      </c>
      <c r="H36" s="19">
        <v>45099</v>
      </c>
      <c r="I36" s="15" t="s">
        <v>72</v>
      </c>
      <c r="J36" s="12">
        <v>1</v>
      </c>
      <c r="K36" s="12" t="s">
        <v>73</v>
      </c>
    </row>
    <row r="37" spans="1:11" ht="26" customHeight="1" x14ac:dyDescent="0.35">
      <c r="A37" s="12">
        <v>36</v>
      </c>
      <c r="B37" s="13">
        <v>690</v>
      </c>
      <c r="C37" s="21">
        <v>117777000734</v>
      </c>
      <c r="D37" s="14" t="s">
        <v>70</v>
      </c>
      <c r="E37" s="12" t="s">
        <v>71</v>
      </c>
      <c r="F37" s="12" t="s">
        <v>13</v>
      </c>
      <c r="G37" s="15" t="s">
        <v>14</v>
      </c>
      <c r="H37" s="19">
        <v>45103</v>
      </c>
      <c r="I37" s="15" t="s">
        <v>74</v>
      </c>
      <c r="J37" s="12">
        <v>1</v>
      </c>
      <c r="K37" s="12" t="s">
        <v>75</v>
      </c>
    </row>
    <row r="38" spans="1:11" ht="26" customHeight="1" x14ac:dyDescent="0.35">
      <c r="A38" s="12">
        <v>37</v>
      </c>
      <c r="B38" s="13">
        <v>690</v>
      </c>
      <c r="C38" s="21">
        <v>117777000734</v>
      </c>
      <c r="D38" s="14" t="s">
        <v>70</v>
      </c>
      <c r="E38" s="12" t="s">
        <v>71</v>
      </c>
      <c r="F38" s="12" t="s">
        <v>13</v>
      </c>
      <c r="G38" s="15" t="s">
        <v>14</v>
      </c>
      <c r="H38" s="19">
        <v>45107</v>
      </c>
      <c r="I38" s="15" t="s">
        <v>76</v>
      </c>
      <c r="J38" s="12">
        <v>1</v>
      </c>
      <c r="K38" s="12" t="s">
        <v>77</v>
      </c>
    </row>
    <row r="39" spans="1:11" ht="36" customHeight="1" x14ac:dyDescent="0.35">
      <c r="A39" s="12">
        <v>38</v>
      </c>
      <c r="B39" s="13">
        <v>690</v>
      </c>
      <c r="C39" s="21">
        <v>117777000734</v>
      </c>
      <c r="D39" s="14" t="s">
        <v>70</v>
      </c>
      <c r="E39" s="12" t="s">
        <v>71</v>
      </c>
      <c r="F39" s="12" t="s">
        <v>13</v>
      </c>
      <c r="G39" s="15" t="s">
        <v>14</v>
      </c>
      <c r="H39" s="19">
        <v>45106</v>
      </c>
      <c r="I39" s="15" t="s">
        <v>78</v>
      </c>
      <c r="J39" s="12">
        <v>1</v>
      </c>
      <c r="K39" s="12" t="s">
        <v>79</v>
      </c>
    </row>
    <row r="40" spans="1:11" ht="36" customHeight="1" x14ac:dyDescent="0.35">
      <c r="A40" s="12">
        <v>39</v>
      </c>
      <c r="B40" s="13">
        <v>690</v>
      </c>
      <c r="C40" s="21">
        <v>117777000734</v>
      </c>
      <c r="D40" s="14" t="s">
        <v>70</v>
      </c>
      <c r="E40" s="12" t="s">
        <v>71</v>
      </c>
      <c r="F40" s="12" t="s">
        <v>13</v>
      </c>
      <c r="G40" s="15" t="s">
        <v>14</v>
      </c>
      <c r="H40" s="19">
        <v>45106</v>
      </c>
      <c r="I40" s="15" t="s">
        <v>78</v>
      </c>
      <c r="J40" s="12">
        <v>1</v>
      </c>
      <c r="K40" s="12" t="s">
        <v>80</v>
      </c>
    </row>
    <row r="41" spans="1:11" ht="26" customHeight="1" x14ac:dyDescent="0.35">
      <c r="A41" s="12">
        <v>40</v>
      </c>
      <c r="B41" s="13">
        <v>690</v>
      </c>
      <c r="C41" s="21">
        <v>117777000734</v>
      </c>
      <c r="D41" s="14" t="s">
        <v>70</v>
      </c>
      <c r="E41" s="12" t="s">
        <v>71</v>
      </c>
      <c r="F41" s="12" t="s">
        <v>13</v>
      </c>
      <c r="G41" s="15" t="s">
        <v>14</v>
      </c>
      <c r="H41" s="19">
        <v>45105</v>
      </c>
      <c r="I41" s="15" t="s">
        <v>81</v>
      </c>
      <c r="J41" s="12">
        <v>2</v>
      </c>
      <c r="K41" s="12" t="s">
        <v>82</v>
      </c>
    </row>
    <row r="42" spans="1:11" ht="26" customHeight="1" x14ac:dyDescent="0.35">
      <c r="A42" s="12">
        <v>41</v>
      </c>
      <c r="B42" s="13">
        <v>690</v>
      </c>
      <c r="C42" s="21">
        <v>117777000734</v>
      </c>
      <c r="D42" s="14" t="s">
        <v>70</v>
      </c>
      <c r="E42" s="12" t="s">
        <v>71</v>
      </c>
      <c r="F42" s="12" t="s">
        <v>13</v>
      </c>
      <c r="G42" s="15" t="s">
        <v>14</v>
      </c>
      <c r="H42" s="19">
        <v>45127</v>
      </c>
      <c r="I42" s="15" t="s">
        <v>83</v>
      </c>
      <c r="J42" s="12">
        <v>1</v>
      </c>
      <c r="K42" s="12">
        <v>26</v>
      </c>
    </row>
    <row r="43" spans="1:11" ht="26" customHeight="1" x14ac:dyDescent="0.35">
      <c r="A43" s="12">
        <v>42</v>
      </c>
      <c r="B43" s="13">
        <v>690</v>
      </c>
      <c r="C43" s="21">
        <v>117777000734</v>
      </c>
      <c r="D43" s="14" t="s">
        <v>70</v>
      </c>
      <c r="E43" s="12" t="s">
        <v>71</v>
      </c>
      <c r="F43" s="12" t="s">
        <v>13</v>
      </c>
      <c r="G43" s="15" t="s">
        <v>14</v>
      </c>
      <c r="H43" s="16">
        <v>45057</v>
      </c>
      <c r="I43" s="16" t="s">
        <v>54</v>
      </c>
      <c r="J43" s="12">
        <v>1</v>
      </c>
      <c r="K43" s="12" t="s">
        <v>84</v>
      </c>
    </row>
    <row r="44" spans="1:11" ht="26" customHeight="1" x14ac:dyDescent="0.35">
      <c r="A44" s="12">
        <v>43</v>
      </c>
      <c r="B44" s="13">
        <v>86474</v>
      </c>
      <c r="C44" s="21">
        <v>217486000651</v>
      </c>
      <c r="D44" s="14" t="s">
        <v>85</v>
      </c>
      <c r="E44" s="12" t="s">
        <v>86</v>
      </c>
      <c r="F44" s="12" t="s">
        <v>13</v>
      </c>
      <c r="G44" s="15" t="s">
        <v>14</v>
      </c>
      <c r="H44" s="16">
        <v>45058</v>
      </c>
      <c r="I44" s="16" t="s">
        <v>87</v>
      </c>
      <c r="J44" s="12">
        <v>1</v>
      </c>
      <c r="K44" s="12" t="s">
        <v>88</v>
      </c>
    </row>
    <row r="45" spans="1:11" ht="26" customHeight="1" x14ac:dyDescent="0.35">
      <c r="A45" s="12">
        <v>44</v>
      </c>
      <c r="B45" s="13">
        <v>86474</v>
      </c>
      <c r="C45" s="21">
        <v>217486000651</v>
      </c>
      <c r="D45" s="14" t="s">
        <v>85</v>
      </c>
      <c r="E45" s="12" t="s">
        <v>86</v>
      </c>
      <c r="F45" s="12" t="s">
        <v>13</v>
      </c>
      <c r="G45" s="15" t="s">
        <v>14</v>
      </c>
      <c r="H45" s="16">
        <v>45089</v>
      </c>
      <c r="I45" s="16" t="s">
        <v>89</v>
      </c>
      <c r="J45" s="12">
        <v>1</v>
      </c>
      <c r="K45" s="12" t="s">
        <v>90</v>
      </c>
    </row>
    <row r="46" spans="1:11" ht="26" customHeight="1" x14ac:dyDescent="0.35">
      <c r="A46" s="12">
        <v>45</v>
      </c>
      <c r="B46" s="13">
        <v>86474</v>
      </c>
      <c r="C46" s="21">
        <v>217486000651</v>
      </c>
      <c r="D46" s="14" t="s">
        <v>85</v>
      </c>
      <c r="E46" s="12" t="s">
        <v>86</v>
      </c>
      <c r="F46" s="12" t="s">
        <v>13</v>
      </c>
      <c r="G46" s="15" t="s">
        <v>14</v>
      </c>
      <c r="H46" s="16">
        <v>45070</v>
      </c>
      <c r="I46" s="16" t="s">
        <v>91</v>
      </c>
      <c r="J46" s="12">
        <v>1</v>
      </c>
      <c r="K46" s="12" t="s">
        <v>92</v>
      </c>
    </row>
    <row r="47" spans="1:11" ht="26" customHeight="1" x14ac:dyDescent="0.35">
      <c r="A47" s="12">
        <v>46</v>
      </c>
      <c r="B47" s="13">
        <v>10704</v>
      </c>
      <c r="C47" s="21">
        <v>217662000590</v>
      </c>
      <c r="D47" s="14" t="s">
        <v>93</v>
      </c>
      <c r="E47" s="12" t="s">
        <v>94</v>
      </c>
      <c r="F47" s="12" t="s">
        <v>13</v>
      </c>
      <c r="G47" s="15" t="s">
        <v>14</v>
      </c>
      <c r="H47" s="16">
        <v>45058</v>
      </c>
      <c r="I47" s="16" t="s">
        <v>87</v>
      </c>
      <c r="J47" s="12">
        <v>1</v>
      </c>
      <c r="K47" s="12" t="s">
        <v>95</v>
      </c>
    </row>
    <row r="48" spans="1:11" ht="26" customHeight="1" x14ac:dyDescent="0.35">
      <c r="A48" s="12">
        <v>47</v>
      </c>
      <c r="B48" s="13">
        <v>10704</v>
      </c>
      <c r="C48" s="21">
        <v>217662000590</v>
      </c>
      <c r="D48" s="14" t="s">
        <v>93</v>
      </c>
      <c r="E48" s="12" t="s">
        <v>94</v>
      </c>
      <c r="F48" s="12" t="s">
        <v>13</v>
      </c>
      <c r="G48" s="15" t="s">
        <v>14</v>
      </c>
      <c r="H48" s="16">
        <v>45089</v>
      </c>
      <c r="I48" s="16" t="s">
        <v>89</v>
      </c>
      <c r="J48" s="12">
        <v>1</v>
      </c>
      <c r="K48" s="12" t="s">
        <v>96</v>
      </c>
    </row>
    <row r="49" spans="1:11" ht="26" customHeight="1" x14ac:dyDescent="0.35">
      <c r="A49" s="12">
        <v>48</v>
      </c>
      <c r="B49" s="13">
        <v>10704</v>
      </c>
      <c r="C49" s="21">
        <v>217662000590</v>
      </c>
      <c r="D49" s="14" t="s">
        <v>93</v>
      </c>
      <c r="E49" s="12" t="s">
        <v>94</v>
      </c>
      <c r="F49" s="12" t="s">
        <v>13</v>
      </c>
      <c r="G49" s="15" t="s">
        <v>14</v>
      </c>
      <c r="H49" s="16">
        <v>45068</v>
      </c>
      <c r="I49" s="16" t="s">
        <v>97</v>
      </c>
      <c r="J49" s="12">
        <v>1</v>
      </c>
      <c r="K49" s="12" t="s">
        <v>98</v>
      </c>
    </row>
    <row r="50" spans="1:11" ht="39" customHeight="1" x14ac:dyDescent="0.35">
      <c r="A50" s="12">
        <v>49</v>
      </c>
      <c r="B50" s="13">
        <v>16136</v>
      </c>
      <c r="C50" s="21">
        <v>117050000278</v>
      </c>
      <c r="D50" s="14" t="s">
        <v>99</v>
      </c>
      <c r="E50" s="12" t="s">
        <v>100</v>
      </c>
      <c r="F50" s="12" t="s">
        <v>13</v>
      </c>
      <c r="G50" s="15" t="s">
        <v>14</v>
      </c>
      <c r="H50" s="16">
        <v>45057</v>
      </c>
      <c r="I50" s="16" t="s">
        <v>54</v>
      </c>
      <c r="J50" s="12">
        <v>1</v>
      </c>
      <c r="K50" s="12" t="s">
        <v>101</v>
      </c>
    </row>
    <row r="51" spans="1:11" ht="39" customHeight="1" x14ac:dyDescent="0.35">
      <c r="A51" s="12">
        <v>50</v>
      </c>
      <c r="B51" s="13">
        <v>16136</v>
      </c>
      <c r="C51" s="21">
        <v>117050000278</v>
      </c>
      <c r="D51" s="14" t="s">
        <v>99</v>
      </c>
      <c r="E51" s="12" t="s">
        <v>100</v>
      </c>
      <c r="F51" s="12" t="s">
        <v>13</v>
      </c>
      <c r="G51" s="15" t="s">
        <v>14</v>
      </c>
      <c r="H51" s="16">
        <v>45083</v>
      </c>
      <c r="I51" s="16" t="s">
        <v>27</v>
      </c>
      <c r="J51" s="12">
        <v>1</v>
      </c>
      <c r="K51" s="12" t="s">
        <v>102</v>
      </c>
    </row>
    <row r="52" spans="1:11" ht="39" customHeight="1" x14ac:dyDescent="0.35">
      <c r="A52" s="12">
        <v>51</v>
      </c>
      <c r="B52" s="13">
        <v>16136</v>
      </c>
      <c r="C52" s="21">
        <v>117050000278</v>
      </c>
      <c r="D52" s="14" t="s">
        <v>99</v>
      </c>
      <c r="E52" s="12" t="s">
        <v>100</v>
      </c>
      <c r="F52" s="12" t="s">
        <v>13</v>
      </c>
      <c r="G52" s="15" t="s">
        <v>14</v>
      </c>
      <c r="H52" s="16">
        <v>45083</v>
      </c>
      <c r="I52" s="16" t="s">
        <v>27</v>
      </c>
      <c r="J52" s="12">
        <v>1</v>
      </c>
      <c r="K52" s="12" t="s">
        <v>103</v>
      </c>
    </row>
    <row r="53" spans="1:11" ht="39" customHeight="1" x14ac:dyDescent="0.35">
      <c r="A53" s="12">
        <v>52</v>
      </c>
      <c r="B53" s="13">
        <v>16136</v>
      </c>
      <c r="C53" s="21">
        <v>117050000278</v>
      </c>
      <c r="D53" s="14" t="s">
        <v>99</v>
      </c>
      <c r="E53" s="12" t="s">
        <v>100</v>
      </c>
      <c r="F53" s="12" t="s">
        <v>13</v>
      </c>
      <c r="G53" s="15" t="s">
        <v>14</v>
      </c>
      <c r="H53" s="16">
        <v>45083</v>
      </c>
      <c r="I53" s="16" t="s">
        <v>27</v>
      </c>
      <c r="J53" s="12">
        <v>1</v>
      </c>
      <c r="K53" s="12" t="s">
        <v>104</v>
      </c>
    </row>
    <row r="54" spans="1:11" ht="39" customHeight="1" x14ac:dyDescent="0.35">
      <c r="A54" s="12">
        <v>53</v>
      </c>
      <c r="B54" s="13">
        <v>16136</v>
      </c>
      <c r="C54" s="21">
        <v>117050000278</v>
      </c>
      <c r="D54" s="14" t="s">
        <v>99</v>
      </c>
      <c r="E54" s="12" t="s">
        <v>100</v>
      </c>
      <c r="F54" s="12" t="s">
        <v>13</v>
      </c>
      <c r="G54" s="15" t="s">
        <v>14</v>
      </c>
      <c r="H54" s="16">
        <v>45083</v>
      </c>
      <c r="I54" s="16" t="s">
        <v>27</v>
      </c>
      <c r="J54" s="12">
        <v>1</v>
      </c>
      <c r="K54" s="12" t="s">
        <v>105</v>
      </c>
    </row>
    <row r="55" spans="1:11" ht="39" customHeight="1" x14ac:dyDescent="0.35">
      <c r="A55" s="12">
        <v>54</v>
      </c>
      <c r="B55" s="13">
        <v>16136</v>
      </c>
      <c r="C55" s="21">
        <v>117050000278</v>
      </c>
      <c r="D55" s="14" t="s">
        <v>99</v>
      </c>
      <c r="E55" s="12" t="s">
        <v>100</v>
      </c>
      <c r="F55" s="12" t="s">
        <v>13</v>
      </c>
      <c r="G55" s="15" t="s">
        <v>14</v>
      </c>
      <c r="H55" s="16">
        <v>45083</v>
      </c>
      <c r="I55" s="16" t="s">
        <v>27</v>
      </c>
      <c r="J55" s="12">
        <v>1</v>
      </c>
      <c r="K55" s="12" t="s">
        <v>106</v>
      </c>
    </row>
    <row r="56" spans="1:11" ht="39" customHeight="1" x14ac:dyDescent="0.35">
      <c r="A56" s="12">
        <v>55</v>
      </c>
      <c r="B56" s="13">
        <v>16136</v>
      </c>
      <c r="C56" s="21">
        <v>117050000278</v>
      </c>
      <c r="D56" s="14" t="s">
        <v>99</v>
      </c>
      <c r="E56" s="12" t="s">
        <v>100</v>
      </c>
      <c r="F56" s="12" t="s">
        <v>13</v>
      </c>
      <c r="G56" s="15" t="s">
        <v>14</v>
      </c>
      <c r="H56" s="16">
        <v>45117</v>
      </c>
      <c r="I56" s="17" t="s">
        <v>19</v>
      </c>
      <c r="J56" s="12">
        <v>1</v>
      </c>
      <c r="K56" s="12" t="s">
        <v>107</v>
      </c>
    </row>
    <row r="57" spans="1:11" ht="39" customHeight="1" x14ac:dyDescent="0.35">
      <c r="A57" s="12">
        <v>56</v>
      </c>
      <c r="B57" s="13">
        <v>16136</v>
      </c>
      <c r="C57" s="21">
        <v>117050000278</v>
      </c>
      <c r="D57" s="14" t="s">
        <v>99</v>
      </c>
      <c r="E57" s="12" t="s">
        <v>100</v>
      </c>
      <c r="F57" s="12" t="s">
        <v>13</v>
      </c>
      <c r="G57" s="15" t="s">
        <v>14</v>
      </c>
      <c r="H57" s="16">
        <v>45117</v>
      </c>
      <c r="I57" s="17" t="s">
        <v>19</v>
      </c>
      <c r="J57" s="12">
        <v>1</v>
      </c>
      <c r="K57" s="12" t="s">
        <v>108</v>
      </c>
    </row>
    <row r="58" spans="1:11" ht="39" customHeight="1" x14ac:dyDescent="0.35">
      <c r="A58" s="12">
        <v>57</v>
      </c>
      <c r="B58" s="13">
        <v>16136</v>
      </c>
      <c r="C58" s="21">
        <v>117050000278</v>
      </c>
      <c r="D58" s="14" t="s">
        <v>99</v>
      </c>
      <c r="E58" s="12" t="s">
        <v>100</v>
      </c>
      <c r="F58" s="12" t="s">
        <v>13</v>
      </c>
      <c r="G58" s="15" t="s">
        <v>14</v>
      </c>
      <c r="H58" s="16">
        <v>45117</v>
      </c>
      <c r="I58" s="17" t="s">
        <v>19</v>
      </c>
      <c r="J58" s="12">
        <v>1</v>
      </c>
      <c r="K58" s="12" t="s">
        <v>109</v>
      </c>
    </row>
    <row r="59" spans="1:11" ht="39" customHeight="1" x14ac:dyDescent="0.35">
      <c r="A59" s="12">
        <v>58</v>
      </c>
      <c r="B59" s="13">
        <v>16136</v>
      </c>
      <c r="C59" s="21">
        <v>117050000278</v>
      </c>
      <c r="D59" s="14" t="s">
        <v>99</v>
      </c>
      <c r="E59" s="12" t="s">
        <v>100</v>
      </c>
      <c r="F59" s="12" t="s">
        <v>13</v>
      </c>
      <c r="G59" s="15" t="s">
        <v>14</v>
      </c>
      <c r="H59" s="16">
        <v>45117</v>
      </c>
      <c r="I59" s="17" t="s">
        <v>19</v>
      </c>
      <c r="J59" s="12">
        <v>1</v>
      </c>
      <c r="K59" s="12" t="s">
        <v>110</v>
      </c>
    </row>
    <row r="60" spans="1:11" ht="39" customHeight="1" x14ac:dyDescent="0.35">
      <c r="A60" s="12">
        <v>59</v>
      </c>
      <c r="B60" s="13">
        <v>16136</v>
      </c>
      <c r="C60" s="21">
        <v>117050000278</v>
      </c>
      <c r="D60" s="14" t="s">
        <v>99</v>
      </c>
      <c r="E60" s="12" t="s">
        <v>100</v>
      </c>
      <c r="F60" s="12" t="s">
        <v>13</v>
      </c>
      <c r="G60" s="15" t="s">
        <v>14</v>
      </c>
      <c r="H60" s="16">
        <v>45117</v>
      </c>
      <c r="I60" s="17" t="s">
        <v>19</v>
      </c>
      <c r="J60" s="12">
        <v>1</v>
      </c>
      <c r="K60" s="12" t="s">
        <v>111</v>
      </c>
    </row>
    <row r="61" spans="1:11" ht="52" customHeight="1" x14ac:dyDescent="0.35">
      <c r="A61" s="12">
        <v>60</v>
      </c>
      <c r="B61" s="13">
        <v>84723</v>
      </c>
      <c r="C61" s="21">
        <v>117541000652</v>
      </c>
      <c r="D61" s="14" t="s">
        <v>112</v>
      </c>
      <c r="E61" s="12" t="s">
        <v>113</v>
      </c>
      <c r="F61" s="12" t="s">
        <v>13</v>
      </c>
      <c r="G61" s="15" t="s">
        <v>14</v>
      </c>
      <c r="H61" s="16">
        <v>45130</v>
      </c>
      <c r="I61" s="16" t="s">
        <v>114</v>
      </c>
      <c r="J61" s="12">
        <v>1</v>
      </c>
      <c r="K61" s="12" t="s">
        <v>115</v>
      </c>
    </row>
    <row r="62" spans="1:11" ht="24" customHeight="1" x14ac:dyDescent="0.35">
      <c r="A62" s="12">
        <v>61</v>
      </c>
      <c r="B62" s="13">
        <v>32691</v>
      </c>
      <c r="C62" s="21">
        <v>217042000760</v>
      </c>
      <c r="D62" s="14" t="s">
        <v>116</v>
      </c>
      <c r="E62" s="12" t="s">
        <v>39</v>
      </c>
      <c r="F62" s="12" t="s">
        <v>13</v>
      </c>
      <c r="G62" s="15" t="s">
        <v>14</v>
      </c>
      <c r="H62" s="16">
        <v>45052</v>
      </c>
      <c r="I62" s="16" t="s">
        <v>40</v>
      </c>
      <c r="J62" s="12">
        <v>1</v>
      </c>
      <c r="K62" s="12" t="s">
        <v>117</v>
      </c>
    </row>
    <row r="63" spans="1:11" ht="24" customHeight="1" x14ac:dyDescent="0.35">
      <c r="A63" s="12">
        <v>62</v>
      </c>
      <c r="B63" s="13">
        <v>32691</v>
      </c>
      <c r="C63" s="21">
        <v>217042000760</v>
      </c>
      <c r="D63" s="14" t="s">
        <v>116</v>
      </c>
      <c r="E63" s="12" t="s">
        <v>39</v>
      </c>
      <c r="F63" s="12" t="s">
        <v>13</v>
      </c>
      <c r="G63" s="15" t="s">
        <v>14</v>
      </c>
      <c r="H63" s="19">
        <v>45099</v>
      </c>
      <c r="I63" s="15" t="s">
        <v>72</v>
      </c>
      <c r="J63" s="12">
        <v>1</v>
      </c>
      <c r="K63" s="12" t="s">
        <v>118</v>
      </c>
    </row>
    <row r="64" spans="1:11" ht="24" customHeight="1" x14ac:dyDescent="0.35">
      <c r="A64" s="12">
        <v>63</v>
      </c>
      <c r="B64" s="13">
        <v>32691</v>
      </c>
      <c r="C64" s="21">
        <v>217042000760</v>
      </c>
      <c r="D64" s="14" t="s">
        <v>116</v>
      </c>
      <c r="E64" s="12" t="s">
        <v>39</v>
      </c>
      <c r="F64" s="12" t="s">
        <v>13</v>
      </c>
      <c r="G64" s="15" t="s">
        <v>14</v>
      </c>
      <c r="H64" s="19">
        <v>45103</v>
      </c>
      <c r="I64" s="15" t="s">
        <v>74</v>
      </c>
      <c r="J64" s="12">
        <v>1</v>
      </c>
      <c r="K64" s="12" t="s">
        <v>119</v>
      </c>
    </row>
    <row r="65" spans="1:11" ht="24" customHeight="1" x14ac:dyDescent="0.35">
      <c r="A65" s="12">
        <v>64</v>
      </c>
      <c r="B65" s="13">
        <v>32691</v>
      </c>
      <c r="C65" s="21">
        <v>217042000760</v>
      </c>
      <c r="D65" s="14" t="s">
        <v>116</v>
      </c>
      <c r="E65" s="12" t="s">
        <v>39</v>
      </c>
      <c r="F65" s="12" t="s">
        <v>13</v>
      </c>
      <c r="G65" s="15" t="s">
        <v>14</v>
      </c>
      <c r="H65" s="19">
        <v>45107</v>
      </c>
      <c r="I65" s="15" t="s">
        <v>76</v>
      </c>
      <c r="J65" s="12">
        <v>1</v>
      </c>
      <c r="K65" s="12" t="s">
        <v>120</v>
      </c>
    </row>
    <row r="66" spans="1:11" ht="36" customHeight="1" x14ac:dyDescent="0.35">
      <c r="A66" s="12">
        <v>65</v>
      </c>
      <c r="B66" s="13">
        <v>32691</v>
      </c>
      <c r="C66" s="21">
        <v>217042000760</v>
      </c>
      <c r="D66" s="14" t="s">
        <v>116</v>
      </c>
      <c r="E66" s="12" t="s">
        <v>39</v>
      </c>
      <c r="F66" s="12" t="s">
        <v>13</v>
      </c>
      <c r="G66" s="15" t="s">
        <v>14</v>
      </c>
      <c r="H66" s="19">
        <v>45106</v>
      </c>
      <c r="I66" s="15" t="s">
        <v>78</v>
      </c>
      <c r="J66" s="12">
        <v>1</v>
      </c>
      <c r="K66" s="12" t="s">
        <v>121</v>
      </c>
    </row>
    <row r="67" spans="1:11" ht="36" customHeight="1" x14ac:dyDescent="0.35">
      <c r="A67" s="12">
        <v>66</v>
      </c>
      <c r="B67" s="13">
        <v>32691</v>
      </c>
      <c r="C67" s="21">
        <v>217042000760</v>
      </c>
      <c r="D67" s="14" t="s">
        <v>116</v>
      </c>
      <c r="E67" s="12" t="s">
        <v>39</v>
      </c>
      <c r="F67" s="12" t="s">
        <v>13</v>
      </c>
      <c r="G67" s="15" t="s">
        <v>14</v>
      </c>
      <c r="H67" s="19">
        <v>45106</v>
      </c>
      <c r="I67" s="15" t="s">
        <v>78</v>
      </c>
      <c r="J67" s="12">
        <v>1</v>
      </c>
      <c r="K67" s="12" t="s">
        <v>122</v>
      </c>
    </row>
    <row r="68" spans="1:11" ht="24" customHeight="1" x14ac:dyDescent="0.35">
      <c r="A68" s="12">
        <v>67</v>
      </c>
      <c r="B68" s="13">
        <v>32691</v>
      </c>
      <c r="C68" s="21">
        <v>217042000760</v>
      </c>
      <c r="D68" s="14" t="s">
        <v>116</v>
      </c>
      <c r="E68" s="12" t="s">
        <v>39</v>
      </c>
      <c r="F68" s="12" t="s">
        <v>13</v>
      </c>
      <c r="G68" s="15" t="s">
        <v>14</v>
      </c>
      <c r="H68" s="19">
        <v>45105</v>
      </c>
      <c r="I68" s="15" t="s">
        <v>81</v>
      </c>
      <c r="J68" s="12">
        <v>2</v>
      </c>
      <c r="K68" s="12" t="s">
        <v>123</v>
      </c>
    </row>
    <row r="69" spans="1:11" ht="24" customHeight="1" x14ac:dyDescent="0.35">
      <c r="A69" s="12">
        <v>68</v>
      </c>
      <c r="B69" s="13">
        <v>32691</v>
      </c>
      <c r="C69" s="21">
        <v>217042000760</v>
      </c>
      <c r="D69" s="14" t="s">
        <v>116</v>
      </c>
      <c r="E69" s="12" t="s">
        <v>39</v>
      </c>
      <c r="F69" s="12" t="s">
        <v>13</v>
      </c>
      <c r="G69" s="15" t="s">
        <v>14</v>
      </c>
      <c r="H69" s="19">
        <v>45127</v>
      </c>
      <c r="I69" s="15" t="s">
        <v>83</v>
      </c>
      <c r="J69" s="12">
        <v>1</v>
      </c>
      <c r="K69" s="12">
        <v>33</v>
      </c>
    </row>
    <row r="70" spans="1:11" ht="24" customHeight="1" x14ac:dyDescent="0.35">
      <c r="A70" s="12">
        <v>69</v>
      </c>
      <c r="B70" s="13">
        <v>32691</v>
      </c>
      <c r="C70" s="21">
        <v>217042000760</v>
      </c>
      <c r="D70" s="14" t="s">
        <v>116</v>
      </c>
      <c r="E70" s="12" t="s">
        <v>39</v>
      </c>
      <c r="F70" s="12" t="s">
        <v>13</v>
      </c>
      <c r="G70" s="15" t="s">
        <v>14</v>
      </c>
      <c r="H70" s="16">
        <v>45059</v>
      </c>
      <c r="I70" s="16" t="s">
        <v>42</v>
      </c>
      <c r="J70" s="12">
        <v>1</v>
      </c>
      <c r="K70" s="12" t="s">
        <v>124</v>
      </c>
    </row>
    <row r="71" spans="1:11" ht="24" customHeight="1" x14ac:dyDescent="0.35">
      <c r="A71" s="12">
        <v>70</v>
      </c>
      <c r="B71" s="13">
        <v>32691</v>
      </c>
      <c r="C71" s="21">
        <v>217042000760</v>
      </c>
      <c r="D71" s="14" t="s">
        <v>116</v>
      </c>
      <c r="E71" s="12" t="s">
        <v>39</v>
      </c>
      <c r="F71" s="12" t="s">
        <v>13</v>
      </c>
      <c r="G71" s="15" t="s">
        <v>14</v>
      </c>
      <c r="H71" s="16">
        <v>45090</v>
      </c>
      <c r="I71" s="16" t="s">
        <v>44</v>
      </c>
      <c r="J71" s="12">
        <v>1</v>
      </c>
      <c r="K71" s="12" t="s">
        <v>125</v>
      </c>
    </row>
    <row r="72" spans="1:11" ht="26" customHeight="1" x14ac:dyDescent="0.35">
      <c r="A72" s="12">
        <v>71</v>
      </c>
      <c r="B72" s="13">
        <v>33093</v>
      </c>
      <c r="C72" s="21">
        <v>217662002258</v>
      </c>
      <c r="D72" s="14" t="s">
        <v>126</v>
      </c>
      <c r="E72" s="12" t="s">
        <v>127</v>
      </c>
      <c r="F72" s="12" t="s">
        <v>13</v>
      </c>
      <c r="G72" s="15" t="s">
        <v>14</v>
      </c>
      <c r="H72" s="16">
        <v>45052</v>
      </c>
      <c r="I72" s="16" t="s">
        <v>40</v>
      </c>
      <c r="J72" s="12">
        <v>1</v>
      </c>
      <c r="K72" s="12" t="s">
        <v>128</v>
      </c>
    </row>
    <row r="73" spans="1:11" ht="39" customHeight="1" x14ac:dyDescent="0.35">
      <c r="A73" s="12">
        <v>72</v>
      </c>
      <c r="B73" s="13">
        <v>10968</v>
      </c>
      <c r="C73" s="21">
        <v>217513000676</v>
      </c>
      <c r="D73" s="14" t="s">
        <v>129</v>
      </c>
      <c r="E73" s="12" t="s">
        <v>130</v>
      </c>
      <c r="F73" s="12" t="s">
        <v>13</v>
      </c>
      <c r="G73" s="15" t="s">
        <v>14</v>
      </c>
      <c r="H73" s="16">
        <v>45116</v>
      </c>
      <c r="I73" s="16" t="s">
        <v>131</v>
      </c>
      <c r="J73" s="12">
        <v>1</v>
      </c>
      <c r="K73" s="12" t="s">
        <v>132</v>
      </c>
    </row>
    <row r="74" spans="1:11" ht="39" customHeight="1" x14ac:dyDescent="0.35">
      <c r="A74" s="12">
        <v>73</v>
      </c>
      <c r="B74" s="13">
        <v>10968</v>
      </c>
      <c r="C74" s="21">
        <v>217513000676</v>
      </c>
      <c r="D74" s="14" t="s">
        <v>129</v>
      </c>
      <c r="E74" s="12" t="s">
        <v>130</v>
      </c>
      <c r="F74" s="12" t="s">
        <v>13</v>
      </c>
      <c r="G74" s="15" t="s">
        <v>14</v>
      </c>
      <c r="H74" s="16">
        <v>45116</v>
      </c>
      <c r="I74" s="16" t="s">
        <v>131</v>
      </c>
      <c r="J74" s="12">
        <v>1</v>
      </c>
      <c r="K74" s="12" t="s">
        <v>133</v>
      </c>
    </row>
    <row r="75" spans="1:11" ht="26" customHeight="1" x14ac:dyDescent="0.35">
      <c r="A75" s="12">
        <v>74</v>
      </c>
      <c r="B75" s="13">
        <v>6670</v>
      </c>
      <c r="C75" s="21">
        <v>117486000028</v>
      </c>
      <c r="D75" s="14" t="s">
        <v>134</v>
      </c>
      <c r="E75" s="12" t="s">
        <v>86</v>
      </c>
      <c r="F75" s="12" t="s">
        <v>13</v>
      </c>
      <c r="G75" s="15" t="s">
        <v>14</v>
      </c>
      <c r="H75" s="16">
        <v>45059</v>
      </c>
      <c r="I75" s="16" t="s">
        <v>42</v>
      </c>
      <c r="J75" s="12">
        <v>1</v>
      </c>
      <c r="K75" s="12" t="s">
        <v>135</v>
      </c>
    </row>
    <row r="76" spans="1:11" ht="26" customHeight="1" x14ac:dyDescent="0.35">
      <c r="A76" s="12">
        <v>75</v>
      </c>
      <c r="B76" s="13">
        <v>6670</v>
      </c>
      <c r="C76" s="21">
        <v>117486000028</v>
      </c>
      <c r="D76" s="14" t="s">
        <v>134</v>
      </c>
      <c r="E76" s="12" t="s">
        <v>86</v>
      </c>
      <c r="F76" s="12" t="s">
        <v>13</v>
      </c>
      <c r="G76" s="15" t="s">
        <v>14</v>
      </c>
      <c r="H76" s="16">
        <v>45090</v>
      </c>
      <c r="I76" s="16" t="s">
        <v>44</v>
      </c>
      <c r="J76" s="12">
        <v>1</v>
      </c>
      <c r="K76" s="12" t="s">
        <v>136</v>
      </c>
    </row>
    <row r="77" spans="1:11" ht="26" customHeight="1" x14ac:dyDescent="0.35">
      <c r="A77" s="12">
        <v>76</v>
      </c>
      <c r="B77" s="13">
        <v>13813</v>
      </c>
      <c r="C77" s="21">
        <v>217088000098</v>
      </c>
      <c r="D77" s="14" t="s">
        <v>137</v>
      </c>
      <c r="E77" s="12" t="s">
        <v>49</v>
      </c>
      <c r="F77" s="12" t="s">
        <v>13</v>
      </c>
      <c r="G77" s="15" t="s">
        <v>14</v>
      </c>
      <c r="H77" s="16">
        <v>45094</v>
      </c>
      <c r="I77" s="15" t="s">
        <v>138</v>
      </c>
      <c r="J77" s="12">
        <v>1</v>
      </c>
      <c r="K77" s="12" t="s">
        <v>139</v>
      </c>
    </row>
    <row r="78" spans="1:11" ht="26" customHeight="1" x14ac:dyDescent="0.35">
      <c r="A78" s="12">
        <v>77</v>
      </c>
      <c r="B78" s="13">
        <v>13813</v>
      </c>
      <c r="C78" s="21">
        <v>217088000098</v>
      </c>
      <c r="D78" s="14" t="s">
        <v>137</v>
      </c>
      <c r="E78" s="12" t="s">
        <v>49</v>
      </c>
      <c r="F78" s="12" t="s">
        <v>13</v>
      </c>
      <c r="G78" s="15" t="s">
        <v>14</v>
      </c>
      <c r="H78" s="16">
        <v>45093</v>
      </c>
      <c r="I78" s="15" t="s">
        <v>140</v>
      </c>
      <c r="J78" s="12">
        <v>1</v>
      </c>
      <c r="K78" s="12" t="s">
        <v>141</v>
      </c>
    </row>
    <row r="79" spans="1:11" ht="26" customHeight="1" x14ac:dyDescent="0.35">
      <c r="A79" s="12">
        <v>78</v>
      </c>
      <c r="B79" s="13">
        <v>13813</v>
      </c>
      <c r="C79" s="21">
        <v>217088000098</v>
      </c>
      <c r="D79" s="14" t="s">
        <v>137</v>
      </c>
      <c r="E79" s="12" t="s">
        <v>49</v>
      </c>
      <c r="F79" s="12" t="s">
        <v>13</v>
      </c>
      <c r="G79" s="15" t="s">
        <v>14</v>
      </c>
      <c r="H79" s="16">
        <v>45111</v>
      </c>
      <c r="I79" s="15" t="s">
        <v>142</v>
      </c>
      <c r="J79" s="12">
        <v>1</v>
      </c>
      <c r="K79" s="12" t="s">
        <v>143</v>
      </c>
    </row>
    <row r="80" spans="1:11" ht="26" customHeight="1" x14ac:dyDescent="0.35">
      <c r="A80" s="12">
        <v>79</v>
      </c>
      <c r="B80" s="13">
        <v>13813</v>
      </c>
      <c r="C80" s="21">
        <v>217088000098</v>
      </c>
      <c r="D80" s="14" t="s">
        <v>137</v>
      </c>
      <c r="E80" s="12" t="s">
        <v>49</v>
      </c>
      <c r="F80" s="12" t="s">
        <v>13</v>
      </c>
      <c r="G80" s="15" t="s">
        <v>14</v>
      </c>
      <c r="H80" s="16">
        <v>45124</v>
      </c>
      <c r="I80" s="15" t="s">
        <v>144</v>
      </c>
      <c r="J80" s="12">
        <v>1</v>
      </c>
      <c r="K80" s="12" t="s">
        <v>145</v>
      </c>
    </row>
    <row r="81" spans="1:11" ht="26" customHeight="1" x14ac:dyDescent="0.35">
      <c r="A81" s="12">
        <v>80</v>
      </c>
      <c r="B81" s="13">
        <v>13813</v>
      </c>
      <c r="C81" s="21">
        <v>217088000098</v>
      </c>
      <c r="D81" s="14" t="s">
        <v>137</v>
      </c>
      <c r="E81" s="12" t="s">
        <v>49</v>
      </c>
      <c r="F81" s="12" t="s">
        <v>13</v>
      </c>
      <c r="G81" s="15" t="s">
        <v>14</v>
      </c>
      <c r="H81" s="16">
        <v>45101</v>
      </c>
      <c r="I81" s="15" t="s">
        <v>146</v>
      </c>
      <c r="J81" s="12">
        <v>1</v>
      </c>
      <c r="K81" s="12" t="s">
        <v>58</v>
      </c>
    </row>
    <row r="82" spans="1:11" ht="26" customHeight="1" x14ac:dyDescent="0.35">
      <c r="A82" s="12">
        <v>81</v>
      </c>
      <c r="B82" s="13">
        <v>13813</v>
      </c>
      <c r="C82" s="21">
        <v>217088000098</v>
      </c>
      <c r="D82" s="14" t="s">
        <v>137</v>
      </c>
      <c r="E82" s="12" t="s">
        <v>49</v>
      </c>
      <c r="F82" s="12" t="s">
        <v>13</v>
      </c>
      <c r="G82" s="15" t="s">
        <v>14</v>
      </c>
      <c r="H82" s="16">
        <v>45102</v>
      </c>
      <c r="I82" s="15" t="s">
        <v>147</v>
      </c>
      <c r="J82" s="12">
        <v>1</v>
      </c>
      <c r="K82" s="12" t="s">
        <v>58</v>
      </c>
    </row>
    <row r="83" spans="1:11" ht="26" customHeight="1" x14ac:dyDescent="0.35">
      <c r="A83" s="12">
        <v>82</v>
      </c>
      <c r="B83" s="13">
        <v>13813</v>
      </c>
      <c r="C83" s="21">
        <v>217088000098</v>
      </c>
      <c r="D83" s="14" t="s">
        <v>137</v>
      </c>
      <c r="E83" s="12" t="s">
        <v>49</v>
      </c>
      <c r="F83" s="12" t="s">
        <v>13</v>
      </c>
      <c r="G83" s="15" t="s">
        <v>14</v>
      </c>
      <c r="H83" s="16">
        <v>45113</v>
      </c>
      <c r="I83" s="15" t="s">
        <v>148</v>
      </c>
      <c r="J83" s="12">
        <v>1</v>
      </c>
      <c r="K83" s="12">
        <v>178</v>
      </c>
    </row>
    <row r="84" spans="1:11" ht="26" customHeight="1" x14ac:dyDescent="0.35">
      <c r="A84" s="12">
        <v>83</v>
      </c>
      <c r="B84" s="13">
        <v>13813</v>
      </c>
      <c r="C84" s="21">
        <v>217088000098</v>
      </c>
      <c r="D84" s="14" t="s">
        <v>137</v>
      </c>
      <c r="E84" s="12" t="s">
        <v>49</v>
      </c>
      <c r="F84" s="12" t="s">
        <v>13</v>
      </c>
      <c r="G84" s="15" t="s">
        <v>14</v>
      </c>
      <c r="H84" s="16">
        <v>45092</v>
      </c>
      <c r="I84" s="15" t="s">
        <v>149</v>
      </c>
      <c r="J84" s="12">
        <v>1</v>
      </c>
      <c r="K84" s="12" t="s">
        <v>150</v>
      </c>
    </row>
    <row r="85" spans="1:11" ht="26" customHeight="1" x14ac:dyDescent="0.35">
      <c r="A85" s="12">
        <v>84</v>
      </c>
      <c r="B85" s="13">
        <v>13813</v>
      </c>
      <c r="C85" s="21">
        <v>217088000098</v>
      </c>
      <c r="D85" s="14" t="s">
        <v>137</v>
      </c>
      <c r="E85" s="12" t="s">
        <v>49</v>
      </c>
      <c r="F85" s="12" t="s">
        <v>13</v>
      </c>
      <c r="G85" s="15" t="s">
        <v>14</v>
      </c>
      <c r="H85" s="16">
        <v>45058</v>
      </c>
      <c r="I85" s="16" t="s">
        <v>87</v>
      </c>
      <c r="J85" s="12">
        <v>1</v>
      </c>
      <c r="K85" s="12" t="s">
        <v>151</v>
      </c>
    </row>
    <row r="86" spans="1:11" ht="26" customHeight="1" x14ac:dyDescent="0.35">
      <c r="A86" s="12">
        <v>85</v>
      </c>
      <c r="B86" s="13">
        <v>13813</v>
      </c>
      <c r="C86" s="21">
        <v>217088000098</v>
      </c>
      <c r="D86" s="14" t="s">
        <v>137</v>
      </c>
      <c r="E86" s="12" t="s">
        <v>49</v>
      </c>
      <c r="F86" s="12" t="s">
        <v>13</v>
      </c>
      <c r="G86" s="15" t="s">
        <v>14</v>
      </c>
      <c r="H86" s="16">
        <v>45089</v>
      </c>
      <c r="I86" s="16" t="s">
        <v>89</v>
      </c>
      <c r="J86" s="12">
        <v>1</v>
      </c>
      <c r="K86" s="12" t="s">
        <v>152</v>
      </c>
    </row>
    <row r="87" spans="1:11" ht="26" customHeight="1" x14ac:dyDescent="0.35">
      <c r="A87" s="12">
        <v>86</v>
      </c>
      <c r="B87" s="13">
        <v>14234</v>
      </c>
      <c r="C87" s="21">
        <v>217444000278</v>
      </c>
      <c r="D87" s="14" t="s">
        <v>153</v>
      </c>
      <c r="E87" s="12" t="s">
        <v>154</v>
      </c>
      <c r="F87" s="12" t="s">
        <v>13</v>
      </c>
      <c r="G87" s="15" t="s">
        <v>14</v>
      </c>
      <c r="H87" s="19">
        <v>45099</v>
      </c>
      <c r="I87" s="15" t="s">
        <v>72</v>
      </c>
      <c r="J87" s="12">
        <v>1</v>
      </c>
      <c r="K87" s="12" t="s">
        <v>155</v>
      </c>
    </row>
    <row r="88" spans="1:11" ht="26" customHeight="1" x14ac:dyDescent="0.35">
      <c r="A88" s="12">
        <v>87</v>
      </c>
      <c r="B88" s="13">
        <v>14234</v>
      </c>
      <c r="C88" s="21">
        <v>217444000278</v>
      </c>
      <c r="D88" s="14" t="s">
        <v>153</v>
      </c>
      <c r="E88" s="12" t="s">
        <v>154</v>
      </c>
      <c r="F88" s="12" t="s">
        <v>13</v>
      </c>
      <c r="G88" s="15" t="s">
        <v>14</v>
      </c>
      <c r="H88" s="19">
        <v>45103</v>
      </c>
      <c r="I88" s="15" t="s">
        <v>74</v>
      </c>
      <c r="J88" s="12">
        <v>1</v>
      </c>
      <c r="K88" s="12" t="s">
        <v>156</v>
      </c>
    </row>
    <row r="89" spans="1:11" ht="26" customHeight="1" x14ac:dyDescent="0.35">
      <c r="A89" s="12">
        <v>88</v>
      </c>
      <c r="B89" s="13">
        <v>14234</v>
      </c>
      <c r="C89" s="21">
        <v>217444000278</v>
      </c>
      <c r="D89" s="14" t="s">
        <v>153</v>
      </c>
      <c r="E89" s="12" t="s">
        <v>154</v>
      </c>
      <c r="F89" s="12" t="s">
        <v>13</v>
      </c>
      <c r="G89" s="15" t="s">
        <v>14</v>
      </c>
      <c r="H89" s="19">
        <v>45107</v>
      </c>
      <c r="I89" s="15" t="s">
        <v>76</v>
      </c>
      <c r="J89" s="12">
        <v>1</v>
      </c>
      <c r="K89" s="12" t="s">
        <v>157</v>
      </c>
    </row>
    <row r="90" spans="1:11" ht="36" customHeight="1" x14ac:dyDescent="0.35">
      <c r="A90" s="12">
        <v>89</v>
      </c>
      <c r="B90" s="13">
        <v>14234</v>
      </c>
      <c r="C90" s="21">
        <v>217444000278</v>
      </c>
      <c r="D90" s="14" t="s">
        <v>153</v>
      </c>
      <c r="E90" s="12" t="s">
        <v>154</v>
      </c>
      <c r="F90" s="12" t="s">
        <v>13</v>
      </c>
      <c r="G90" s="15" t="s">
        <v>14</v>
      </c>
      <c r="H90" s="19">
        <v>45106</v>
      </c>
      <c r="I90" s="15" t="s">
        <v>78</v>
      </c>
      <c r="J90" s="12">
        <v>1</v>
      </c>
      <c r="K90" s="12" t="s">
        <v>158</v>
      </c>
    </row>
    <row r="91" spans="1:11" ht="36" customHeight="1" x14ac:dyDescent="0.35">
      <c r="A91" s="12">
        <v>90</v>
      </c>
      <c r="B91" s="13">
        <v>14234</v>
      </c>
      <c r="C91" s="21">
        <v>217444000278</v>
      </c>
      <c r="D91" s="14" t="s">
        <v>153</v>
      </c>
      <c r="E91" s="12" t="s">
        <v>154</v>
      </c>
      <c r="F91" s="12" t="s">
        <v>13</v>
      </c>
      <c r="G91" s="15" t="s">
        <v>14</v>
      </c>
      <c r="H91" s="19">
        <v>45106</v>
      </c>
      <c r="I91" s="15" t="s">
        <v>78</v>
      </c>
      <c r="J91" s="12">
        <v>1</v>
      </c>
      <c r="K91" s="12" t="s">
        <v>159</v>
      </c>
    </row>
    <row r="92" spans="1:11" ht="26" customHeight="1" x14ac:dyDescent="0.35">
      <c r="A92" s="12">
        <v>91</v>
      </c>
      <c r="B92" s="13">
        <v>14234</v>
      </c>
      <c r="C92" s="21">
        <v>217444000278</v>
      </c>
      <c r="D92" s="14" t="s">
        <v>153</v>
      </c>
      <c r="E92" s="12" t="s">
        <v>154</v>
      </c>
      <c r="F92" s="12" t="s">
        <v>13</v>
      </c>
      <c r="G92" s="15" t="s">
        <v>14</v>
      </c>
      <c r="H92" s="19">
        <v>45105</v>
      </c>
      <c r="I92" s="15" t="s">
        <v>81</v>
      </c>
      <c r="J92" s="12">
        <v>2</v>
      </c>
      <c r="K92" s="12" t="s">
        <v>160</v>
      </c>
    </row>
    <row r="93" spans="1:11" ht="26" customHeight="1" x14ac:dyDescent="0.35">
      <c r="A93" s="12">
        <v>92</v>
      </c>
      <c r="B93" s="13">
        <v>14234</v>
      </c>
      <c r="C93" s="21">
        <v>217444000278</v>
      </c>
      <c r="D93" s="14" t="s">
        <v>153</v>
      </c>
      <c r="E93" s="12" t="s">
        <v>154</v>
      </c>
      <c r="F93" s="12" t="s">
        <v>13</v>
      </c>
      <c r="G93" s="15" t="s">
        <v>14</v>
      </c>
      <c r="H93" s="19">
        <v>45127</v>
      </c>
      <c r="I93" s="15" t="s">
        <v>83</v>
      </c>
      <c r="J93" s="12">
        <v>1</v>
      </c>
      <c r="K93" s="12">
        <v>14</v>
      </c>
    </row>
    <row r="94" spans="1:11" ht="26" customHeight="1" x14ac:dyDescent="0.35">
      <c r="A94" s="12">
        <v>93</v>
      </c>
      <c r="B94" s="13">
        <v>19583</v>
      </c>
      <c r="C94" s="21">
        <v>217380000040</v>
      </c>
      <c r="D94" s="14" t="s">
        <v>161</v>
      </c>
      <c r="E94" s="12" t="s">
        <v>162</v>
      </c>
      <c r="F94" s="12" t="s">
        <v>13</v>
      </c>
      <c r="G94" s="15" t="s">
        <v>14</v>
      </c>
      <c r="H94" s="19">
        <v>45099</v>
      </c>
      <c r="I94" s="15" t="s">
        <v>72</v>
      </c>
      <c r="J94" s="12">
        <v>1</v>
      </c>
      <c r="K94" s="12" t="s">
        <v>163</v>
      </c>
    </row>
    <row r="95" spans="1:11" ht="26" customHeight="1" x14ac:dyDescent="0.35">
      <c r="A95" s="12">
        <v>94</v>
      </c>
      <c r="B95" s="13">
        <v>19583</v>
      </c>
      <c r="C95" s="21">
        <v>217380000040</v>
      </c>
      <c r="D95" s="14" t="s">
        <v>161</v>
      </c>
      <c r="E95" s="12" t="s">
        <v>162</v>
      </c>
      <c r="F95" s="12" t="s">
        <v>13</v>
      </c>
      <c r="G95" s="15" t="s">
        <v>14</v>
      </c>
      <c r="H95" s="19">
        <v>45103</v>
      </c>
      <c r="I95" s="15" t="s">
        <v>74</v>
      </c>
      <c r="J95" s="12">
        <v>1</v>
      </c>
      <c r="K95" s="12" t="s">
        <v>164</v>
      </c>
    </row>
    <row r="96" spans="1:11" ht="26" customHeight="1" x14ac:dyDescent="0.35">
      <c r="A96" s="12">
        <v>95</v>
      </c>
      <c r="B96" s="13">
        <v>19583</v>
      </c>
      <c r="C96" s="21">
        <v>217380000040</v>
      </c>
      <c r="D96" s="14" t="s">
        <v>161</v>
      </c>
      <c r="E96" s="12" t="s">
        <v>162</v>
      </c>
      <c r="F96" s="12" t="s">
        <v>13</v>
      </c>
      <c r="G96" s="15" t="s">
        <v>14</v>
      </c>
      <c r="H96" s="19">
        <v>45107</v>
      </c>
      <c r="I96" s="15" t="s">
        <v>76</v>
      </c>
      <c r="J96" s="12">
        <v>1</v>
      </c>
      <c r="K96" s="12" t="s">
        <v>165</v>
      </c>
    </row>
    <row r="97" spans="1:11" ht="36" customHeight="1" x14ac:dyDescent="0.35">
      <c r="A97" s="12">
        <v>96</v>
      </c>
      <c r="B97" s="13">
        <v>19583</v>
      </c>
      <c r="C97" s="21">
        <v>217380000040</v>
      </c>
      <c r="D97" s="14" t="s">
        <v>161</v>
      </c>
      <c r="E97" s="12" t="s">
        <v>162</v>
      </c>
      <c r="F97" s="12" t="s">
        <v>13</v>
      </c>
      <c r="G97" s="15" t="s">
        <v>14</v>
      </c>
      <c r="H97" s="19">
        <v>45106</v>
      </c>
      <c r="I97" s="15" t="s">
        <v>78</v>
      </c>
      <c r="J97" s="12">
        <v>1</v>
      </c>
      <c r="K97" s="12" t="s">
        <v>166</v>
      </c>
    </row>
    <row r="98" spans="1:11" ht="36" customHeight="1" x14ac:dyDescent="0.35">
      <c r="A98" s="12">
        <v>97</v>
      </c>
      <c r="B98" s="13">
        <v>19583</v>
      </c>
      <c r="C98" s="21">
        <v>217380000040</v>
      </c>
      <c r="D98" s="14" t="s">
        <v>161</v>
      </c>
      <c r="E98" s="12" t="s">
        <v>162</v>
      </c>
      <c r="F98" s="12" t="s">
        <v>13</v>
      </c>
      <c r="G98" s="15" t="s">
        <v>14</v>
      </c>
      <c r="H98" s="19">
        <v>45106</v>
      </c>
      <c r="I98" s="15" t="s">
        <v>78</v>
      </c>
      <c r="J98" s="12">
        <v>1</v>
      </c>
      <c r="K98" s="12" t="s">
        <v>167</v>
      </c>
    </row>
    <row r="99" spans="1:11" ht="26" customHeight="1" x14ac:dyDescent="0.35">
      <c r="A99" s="12">
        <v>98</v>
      </c>
      <c r="B99" s="13">
        <v>19583</v>
      </c>
      <c r="C99" s="21">
        <v>217380000040</v>
      </c>
      <c r="D99" s="14" t="s">
        <v>161</v>
      </c>
      <c r="E99" s="12" t="s">
        <v>162</v>
      </c>
      <c r="F99" s="12" t="s">
        <v>13</v>
      </c>
      <c r="G99" s="15" t="s">
        <v>14</v>
      </c>
      <c r="H99" s="19">
        <v>45105</v>
      </c>
      <c r="I99" s="15" t="s">
        <v>81</v>
      </c>
      <c r="J99" s="12">
        <v>2</v>
      </c>
      <c r="K99" s="12" t="s">
        <v>168</v>
      </c>
    </row>
    <row r="100" spans="1:11" ht="26" customHeight="1" x14ac:dyDescent="0.35">
      <c r="A100" s="12">
        <v>99</v>
      </c>
      <c r="B100" s="13">
        <v>19583</v>
      </c>
      <c r="C100" s="21">
        <v>217380000040</v>
      </c>
      <c r="D100" s="14" t="s">
        <v>161</v>
      </c>
      <c r="E100" s="12" t="s">
        <v>162</v>
      </c>
      <c r="F100" s="12" t="s">
        <v>13</v>
      </c>
      <c r="G100" s="15" t="s">
        <v>14</v>
      </c>
      <c r="H100" s="19">
        <v>45127</v>
      </c>
      <c r="I100" s="15" t="s">
        <v>83</v>
      </c>
      <c r="J100" s="12">
        <v>1</v>
      </c>
      <c r="K100" s="12">
        <v>19</v>
      </c>
    </row>
    <row r="101" spans="1:11" ht="26" customHeight="1" x14ac:dyDescent="0.35">
      <c r="A101" s="12">
        <v>100</v>
      </c>
      <c r="B101" s="13">
        <v>8951</v>
      </c>
      <c r="C101" s="21">
        <v>217042000107</v>
      </c>
      <c r="D101" s="14" t="s">
        <v>169</v>
      </c>
      <c r="E101" s="12" t="s">
        <v>39</v>
      </c>
      <c r="F101" s="12" t="s">
        <v>13</v>
      </c>
      <c r="G101" s="15" t="s">
        <v>14</v>
      </c>
      <c r="H101" s="16">
        <v>45054</v>
      </c>
      <c r="I101" s="16" t="s">
        <v>50</v>
      </c>
      <c r="J101" s="12">
        <v>1</v>
      </c>
      <c r="K101" s="12" t="s">
        <v>170</v>
      </c>
    </row>
    <row r="102" spans="1:11" ht="26" customHeight="1" x14ac:dyDescent="0.35">
      <c r="A102" s="12">
        <v>101</v>
      </c>
      <c r="B102" s="13">
        <v>8951</v>
      </c>
      <c r="C102" s="21">
        <v>217042000107</v>
      </c>
      <c r="D102" s="14" t="s">
        <v>169</v>
      </c>
      <c r="E102" s="12" t="s">
        <v>39</v>
      </c>
      <c r="F102" s="12" t="s">
        <v>13</v>
      </c>
      <c r="G102" s="15" t="s">
        <v>14</v>
      </c>
      <c r="H102" s="16">
        <v>45125</v>
      </c>
      <c r="I102" s="16" t="s">
        <v>52</v>
      </c>
      <c r="J102" s="12">
        <v>1</v>
      </c>
      <c r="K102" s="12" t="s">
        <v>171</v>
      </c>
    </row>
    <row r="103" spans="1:11" ht="26" customHeight="1" x14ac:dyDescent="0.35">
      <c r="A103" s="12">
        <v>102</v>
      </c>
      <c r="B103" s="13">
        <v>8951</v>
      </c>
      <c r="C103" s="21">
        <v>217042000107</v>
      </c>
      <c r="D103" s="14" t="s">
        <v>169</v>
      </c>
      <c r="E103" s="12" t="s">
        <v>39</v>
      </c>
      <c r="F103" s="12" t="s">
        <v>13</v>
      </c>
      <c r="G103" s="15" t="s">
        <v>14</v>
      </c>
      <c r="H103" s="16">
        <v>45059</v>
      </c>
      <c r="I103" s="16" t="s">
        <v>42</v>
      </c>
      <c r="J103" s="12">
        <v>1</v>
      </c>
      <c r="K103" s="18" t="s">
        <v>172</v>
      </c>
    </row>
    <row r="104" spans="1:11" ht="26" customHeight="1" x14ac:dyDescent="0.35">
      <c r="A104" s="12">
        <v>103</v>
      </c>
      <c r="B104" s="13">
        <v>8951</v>
      </c>
      <c r="C104" s="21">
        <v>217042000107</v>
      </c>
      <c r="D104" s="14" t="s">
        <v>169</v>
      </c>
      <c r="E104" s="12" t="s">
        <v>39</v>
      </c>
      <c r="F104" s="12" t="s">
        <v>13</v>
      </c>
      <c r="G104" s="15" t="s">
        <v>14</v>
      </c>
      <c r="H104" s="16">
        <v>45090</v>
      </c>
      <c r="I104" s="16" t="s">
        <v>44</v>
      </c>
      <c r="J104" s="12">
        <v>1</v>
      </c>
      <c r="K104" s="18" t="s">
        <v>173</v>
      </c>
    </row>
    <row r="105" spans="1:11" ht="26" customHeight="1" x14ac:dyDescent="0.35">
      <c r="A105" s="12">
        <v>104</v>
      </c>
      <c r="B105" s="13">
        <v>8951</v>
      </c>
      <c r="C105" s="21">
        <v>217042000107</v>
      </c>
      <c r="D105" s="14" t="s">
        <v>169</v>
      </c>
      <c r="E105" s="12" t="s">
        <v>39</v>
      </c>
      <c r="F105" s="12" t="s">
        <v>13</v>
      </c>
      <c r="G105" s="15" t="s">
        <v>14</v>
      </c>
      <c r="H105" s="16">
        <v>45078</v>
      </c>
      <c r="I105" s="16" t="s">
        <v>59</v>
      </c>
      <c r="J105" s="12">
        <v>1</v>
      </c>
      <c r="K105" s="18" t="s">
        <v>174</v>
      </c>
    </row>
    <row r="106" spans="1:11" ht="26" customHeight="1" x14ac:dyDescent="0.35">
      <c r="A106" s="12">
        <v>105</v>
      </c>
      <c r="B106" s="13">
        <v>8951</v>
      </c>
      <c r="C106" s="21">
        <v>217042000107</v>
      </c>
      <c r="D106" s="14" t="s">
        <v>169</v>
      </c>
      <c r="E106" s="12" t="s">
        <v>39</v>
      </c>
      <c r="F106" s="12" t="s">
        <v>13</v>
      </c>
      <c r="G106" s="15" t="s">
        <v>14</v>
      </c>
      <c r="H106" s="16">
        <v>45078</v>
      </c>
      <c r="I106" s="16" t="s">
        <v>59</v>
      </c>
      <c r="J106" s="12">
        <v>1</v>
      </c>
      <c r="K106" s="18" t="s">
        <v>175</v>
      </c>
    </row>
    <row r="107" spans="1:11" ht="26" customHeight="1" x14ac:dyDescent="0.35">
      <c r="A107" s="12">
        <v>106</v>
      </c>
      <c r="B107" s="13">
        <v>8951</v>
      </c>
      <c r="C107" s="21">
        <v>217042000107</v>
      </c>
      <c r="D107" s="14" t="s">
        <v>169</v>
      </c>
      <c r="E107" s="12" t="s">
        <v>39</v>
      </c>
      <c r="F107" s="12" t="s">
        <v>13</v>
      </c>
      <c r="G107" s="15" t="s">
        <v>14</v>
      </c>
      <c r="H107" s="16">
        <v>45078</v>
      </c>
      <c r="I107" s="16" t="s">
        <v>59</v>
      </c>
      <c r="J107" s="12">
        <v>1</v>
      </c>
      <c r="K107" s="18" t="s">
        <v>176</v>
      </c>
    </row>
    <row r="108" spans="1:11" ht="26" customHeight="1" x14ac:dyDescent="0.35">
      <c r="A108" s="12">
        <v>107</v>
      </c>
      <c r="B108" s="13">
        <v>8951</v>
      </c>
      <c r="C108" s="21">
        <v>217042000107</v>
      </c>
      <c r="D108" s="14" t="s">
        <v>169</v>
      </c>
      <c r="E108" s="12" t="s">
        <v>39</v>
      </c>
      <c r="F108" s="12" t="s">
        <v>13</v>
      </c>
      <c r="G108" s="15" t="s">
        <v>14</v>
      </c>
      <c r="H108" s="16">
        <v>45083</v>
      </c>
      <c r="I108" s="16" t="s">
        <v>27</v>
      </c>
      <c r="J108" s="12">
        <v>1</v>
      </c>
      <c r="K108" s="18" t="s">
        <v>177</v>
      </c>
    </row>
    <row r="109" spans="1:11" ht="26" customHeight="1" x14ac:dyDescent="0.35">
      <c r="A109" s="12">
        <v>108</v>
      </c>
      <c r="B109" s="13">
        <v>8951</v>
      </c>
      <c r="C109" s="21">
        <v>217042000107</v>
      </c>
      <c r="D109" s="14" t="s">
        <v>169</v>
      </c>
      <c r="E109" s="12" t="s">
        <v>39</v>
      </c>
      <c r="F109" s="12" t="s">
        <v>13</v>
      </c>
      <c r="G109" s="15" t="s">
        <v>14</v>
      </c>
      <c r="H109" s="16">
        <v>45083</v>
      </c>
      <c r="I109" s="16" t="s">
        <v>27</v>
      </c>
      <c r="J109" s="12">
        <v>1</v>
      </c>
      <c r="K109" s="18" t="s">
        <v>178</v>
      </c>
    </row>
    <row r="110" spans="1:11" ht="26" customHeight="1" x14ac:dyDescent="0.35">
      <c r="A110" s="12">
        <v>109</v>
      </c>
      <c r="B110" s="13">
        <v>8951</v>
      </c>
      <c r="C110" s="21">
        <v>217042000107</v>
      </c>
      <c r="D110" s="14" t="s">
        <v>169</v>
      </c>
      <c r="E110" s="12" t="s">
        <v>39</v>
      </c>
      <c r="F110" s="12" t="s">
        <v>13</v>
      </c>
      <c r="G110" s="15" t="s">
        <v>14</v>
      </c>
      <c r="H110" s="16">
        <v>45083</v>
      </c>
      <c r="I110" s="16" t="s">
        <v>27</v>
      </c>
      <c r="J110" s="12">
        <v>1</v>
      </c>
      <c r="K110" s="18" t="s">
        <v>179</v>
      </c>
    </row>
    <row r="111" spans="1:11" ht="26" customHeight="1" x14ac:dyDescent="0.35">
      <c r="A111" s="12">
        <v>110</v>
      </c>
      <c r="B111" s="13">
        <v>14892</v>
      </c>
      <c r="C111" s="21">
        <v>217614000391</v>
      </c>
      <c r="D111" s="14" t="s">
        <v>180</v>
      </c>
      <c r="E111" s="12" t="s">
        <v>12</v>
      </c>
      <c r="F111" s="12" t="s">
        <v>13</v>
      </c>
      <c r="G111" s="15" t="s">
        <v>14</v>
      </c>
      <c r="H111" s="16">
        <v>45052</v>
      </c>
      <c r="I111" s="16" t="s">
        <v>40</v>
      </c>
      <c r="J111" s="12">
        <v>1</v>
      </c>
      <c r="K111" s="12" t="s">
        <v>181</v>
      </c>
    </row>
    <row r="112" spans="1:11" ht="26" customHeight="1" x14ac:dyDescent="0.35">
      <c r="A112" s="12">
        <v>111</v>
      </c>
      <c r="B112" s="13">
        <v>14892</v>
      </c>
      <c r="C112" s="21">
        <v>217614000391</v>
      </c>
      <c r="D112" s="14" t="s">
        <v>180</v>
      </c>
      <c r="E112" s="12" t="s">
        <v>12</v>
      </c>
      <c r="F112" s="12" t="s">
        <v>13</v>
      </c>
      <c r="G112" s="15" t="s">
        <v>14</v>
      </c>
      <c r="H112" s="16">
        <v>45059</v>
      </c>
      <c r="I112" s="16" t="s">
        <v>42</v>
      </c>
      <c r="J112" s="12">
        <v>1</v>
      </c>
      <c r="K112" s="18" t="s">
        <v>182</v>
      </c>
    </row>
    <row r="113" spans="1:11" ht="26" customHeight="1" x14ac:dyDescent="0.35">
      <c r="A113" s="12">
        <v>112</v>
      </c>
      <c r="B113" s="13">
        <v>14892</v>
      </c>
      <c r="C113" s="21">
        <v>217614000391</v>
      </c>
      <c r="D113" s="14" t="s">
        <v>180</v>
      </c>
      <c r="E113" s="12" t="s">
        <v>12</v>
      </c>
      <c r="F113" s="12" t="s">
        <v>13</v>
      </c>
      <c r="G113" s="15" t="s">
        <v>14</v>
      </c>
      <c r="H113" s="16">
        <v>45090</v>
      </c>
      <c r="I113" s="16" t="s">
        <v>44</v>
      </c>
      <c r="J113" s="12">
        <v>1</v>
      </c>
      <c r="K113" s="18" t="s">
        <v>183</v>
      </c>
    </row>
    <row r="114" spans="1:11" ht="26" customHeight="1" x14ac:dyDescent="0.35">
      <c r="A114" s="12">
        <v>113</v>
      </c>
      <c r="B114" s="13">
        <v>32704</v>
      </c>
      <c r="C114" s="21">
        <v>217050000400</v>
      </c>
      <c r="D114" s="14" t="s">
        <v>184</v>
      </c>
      <c r="E114" s="12" t="s">
        <v>100</v>
      </c>
      <c r="F114" s="12" t="s">
        <v>13</v>
      </c>
      <c r="G114" s="15" t="s">
        <v>14</v>
      </c>
      <c r="H114" s="16">
        <v>45052</v>
      </c>
      <c r="I114" s="16" t="s">
        <v>40</v>
      </c>
      <c r="J114" s="12">
        <v>1</v>
      </c>
      <c r="K114" s="12" t="s">
        <v>185</v>
      </c>
    </row>
    <row r="115" spans="1:11" ht="26" customHeight="1" x14ac:dyDescent="0.35">
      <c r="A115" s="12">
        <v>114</v>
      </c>
      <c r="B115" s="13">
        <v>32704</v>
      </c>
      <c r="C115" s="21">
        <v>217050000400</v>
      </c>
      <c r="D115" s="14" t="s">
        <v>184</v>
      </c>
      <c r="E115" s="12" t="s">
        <v>100</v>
      </c>
      <c r="F115" s="12" t="s">
        <v>13</v>
      </c>
      <c r="G115" s="15" t="s">
        <v>14</v>
      </c>
      <c r="H115" s="16">
        <v>45059</v>
      </c>
      <c r="I115" s="16" t="s">
        <v>42</v>
      </c>
      <c r="J115" s="12">
        <v>1</v>
      </c>
      <c r="K115" s="18" t="s">
        <v>186</v>
      </c>
    </row>
    <row r="116" spans="1:11" ht="26" customHeight="1" x14ac:dyDescent="0.35">
      <c r="A116" s="12">
        <v>115</v>
      </c>
      <c r="B116" s="13">
        <v>32704</v>
      </c>
      <c r="C116" s="21">
        <v>217050000400</v>
      </c>
      <c r="D116" s="14" t="s">
        <v>184</v>
      </c>
      <c r="E116" s="12" t="s">
        <v>100</v>
      </c>
      <c r="F116" s="12" t="s">
        <v>13</v>
      </c>
      <c r="G116" s="15" t="s">
        <v>14</v>
      </c>
      <c r="H116" s="16">
        <v>45090</v>
      </c>
      <c r="I116" s="16" t="s">
        <v>44</v>
      </c>
      <c r="J116" s="12">
        <v>1</v>
      </c>
      <c r="K116" s="18" t="s">
        <v>187</v>
      </c>
    </row>
    <row r="117" spans="1:11" ht="39" customHeight="1" x14ac:dyDescent="0.35">
      <c r="A117" s="12">
        <v>116</v>
      </c>
      <c r="B117" s="13">
        <v>32992</v>
      </c>
      <c r="C117" s="21">
        <v>217442000246</v>
      </c>
      <c r="D117" s="14" t="s">
        <v>188</v>
      </c>
      <c r="E117" s="12" t="s">
        <v>189</v>
      </c>
      <c r="F117" s="12" t="s">
        <v>13</v>
      </c>
      <c r="G117" s="15" t="s">
        <v>14</v>
      </c>
      <c r="H117" s="16">
        <v>45052</v>
      </c>
      <c r="I117" s="16" t="s">
        <v>40</v>
      </c>
      <c r="J117" s="12">
        <v>1</v>
      </c>
      <c r="K117" s="12" t="s">
        <v>190</v>
      </c>
    </row>
    <row r="118" spans="1:11" ht="39" customHeight="1" x14ac:dyDescent="0.35">
      <c r="A118" s="12">
        <v>117</v>
      </c>
      <c r="B118" s="13">
        <v>32992</v>
      </c>
      <c r="C118" s="21">
        <v>217442000246</v>
      </c>
      <c r="D118" s="14" t="s">
        <v>188</v>
      </c>
      <c r="E118" s="12" t="s">
        <v>189</v>
      </c>
      <c r="F118" s="12" t="s">
        <v>13</v>
      </c>
      <c r="G118" s="15" t="s">
        <v>14</v>
      </c>
      <c r="H118" s="16">
        <v>45056</v>
      </c>
      <c r="I118" s="16" t="s">
        <v>17</v>
      </c>
      <c r="J118" s="12">
        <v>1</v>
      </c>
      <c r="K118" s="12" t="s">
        <v>191</v>
      </c>
    </row>
    <row r="119" spans="1:11" ht="39" customHeight="1" x14ac:dyDescent="0.35">
      <c r="A119" s="12">
        <v>118</v>
      </c>
      <c r="B119" s="13">
        <v>32992</v>
      </c>
      <c r="C119" s="21">
        <v>217442000246</v>
      </c>
      <c r="D119" s="14" t="s">
        <v>188</v>
      </c>
      <c r="E119" s="12" t="s">
        <v>189</v>
      </c>
      <c r="F119" s="12" t="s">
        <v>13</v>
      </c>
      <c r="G119" s="15" t="s">
        <v>14</v>
      </c>
      <c r="H119" s="16">
        <v>45083</v>
      </c>
      <c r="I119" s="16" t="s">
        <v>27</v>
      </c>
      <c r="J119" s="12">
        <v>1</v>
      </c>
      <c r="K119" s="18" t="s">
        <v>192</v>
      </c>
    </row>
    <row r="120" spans="1:11" ht="26" customHeight="1" x14ac:dyDescent="0.35">
      <c r="A120" s="12">
        <v>119</v>
      </c>
      <c r="B120" s="13">
        <v>33235</v>
      </c>
      <c r="C120" s="21">
        <v>217614000201</v>
      </c>
      <c r="D120" s="14" t="s">
        <v>193</v>
      </c>
      <c r="E120" s="12" t="s">
        <v>12</v>
      </c>
      <c r="F120" s="12" t="s">
        <v>13</v>
      </c>
      <c r="G120" s="15" t="s">
        <v>14</v>
      </c>
      <c r="H120" s="16">
        <v>45052</v>
      </c>
      <c r="I120" s="16" t="s">
        <v>40</v>
      </c>
      <c r="J120" s="12">
        <v>1</v>
      </c>
      <c r="K120" s="12" t="s">
        <v>194</v>
      </c>
    </row>
    <row r="121" spans="1:11" ht="26" customHeight="1" x14ac:dyDescent="0.35">
      <c r="A121" s="12">
        <v>120</v>
      </c>
      <c r="B121" s="13">
        <v>33235</v>
      </c>
      <c r="C121" s="21">
        <v>217614000201</v>
      </c>
      <c r="D121" s="14" t="s">
        <v>193</v>
      </c>
      <c r="E121" s="12" t="s">
        <v>12</v>
      </c>
      <c r="F121" s="12" t="s">
        <v>13</v>
      </c>
      <c r="G121" s="15" t="s">
        <v>14</v>
      </c>
      <c r="H121" s="16">
        <v>45094</v>
      </c>
      <c r="I121" s="15" t="s">
        <v>138</v>
      </c>
      <c r="J121" s="12">
        <v>1</v>
      </c>
      <c r="K121" s="18" t="s">
        <v>195</v>
      </c>
    </row>
    <row r="122" spans="1:11" ht="26" customHeight="1" x14ac:dyDescent="0.35">
      <c r="A122" s="12">
        <v>121</v>
      </c>
      <c r="B122" s="13">
        <v>33235</v>
      </c>
      <c r="C122" s="21">
        <v>217614000201</v>
      </c>
      <c r="D122" s="14" t="s">
        <v>193</v>
      </c>
      <c r="E122" s="12" t="s">
        <v>12</v>
      </c>
      <c r="F122" s="12" t="s">
        <v>13</v>
      </c>
      <c r="G122" s="15" t="s">
        <v>14</v>
      </c>
      <c r="H122" s="16">
        <v>45093</v>
      </c>
      <c r="I122" s="15" t="s">
        <v>140</v>
      </c>
      <c r="J122" s="12">
        <v>1</v>
      </c>
      <c r="K122" s="18" t="s">
        <v>196</v>
      </c>
    </row>
    <row r="123" spans="1:11" ht="26" customHeight="1" x14ac:dyDescent="0.35">
      <c r="A123" s="12">
        <v>122</v>
      </c>
      <c r="B123" s="13">
        <v>33235</v>
      </c>
      <c r="C123" s="21">
        <v>217614000201</v>
      </c>
      <c r="D123" s="14" t="s">
        <v>193</v>
      </c>
      <c r="E123" s="12" t="s">
        <v>12</v>
      </c>
      <c r="F123" s="12" t="s">
        <v>13</v>
      </c>
      <c r="G123" s="15" t="s">
        <v>14</v>
      </c>
      <c r="H123" s="16">
        <v>45111</v>
      </c>
      <c r="I123" s="15" t="s">
        <v>142</v>
      </c>
      <c r="J123" s="12">
        <v>1</v>
      </c>
      <c r="K123" s="18" t="s">
        <v>197</v>
      </c>
    </row>
    <row r="124" spans="1:11" ht="26" customHeight="1" x14ac:dyDescent="0.35">
      <c r="A124" s="12">
        <v>123</v>
      </c>
      <c r="B124" s="13">
        <v>33235</v>
      </c>
      <c r="C124" s="21">
        <v>217614000201</v>
      </c>
      <c r="D124" s="14" t="s">
        <v>193</v>
      </c>
      <c r="E124" s="12" t="s">
        <v>12</v>
      </c>
      <c r="F124" s="12" t="s">
        <v>13</v>
      </c>
      <c r="G124" s="15" t="s">
        <v>14</v>
      </c>
      <c r="H124" s="16">
        <v>45124</v>
      </c>
      <c r="I124" s="15" t="s">
        <v>144</v>
      </c>
      <c r="J124" s="12">
        <v>1</v>
      </c>
      <c r="K124" s="18" t="s">
        <v>198</v>
      </c>
    </row>
    <row r="125" spans="1:11" ht="26" customHeight="1" x14ac:dyDescent="0.35">
      <c r="A125" s="12">
        <v>124</v>
      </c>
      <c r="B125" s="13">
        <v>33235</v>
      </c>
      <c r="C125" s="21">
        <v>217614000201</v>
      </c>
      <c r="D125" s="14" t="s">
        <v>193</v>
      </c>
      <c r="E125" s="12" t="s">
        <v>12</v>
      </c>
      <c r="F125" s="12" t="s">
        <v>13</v>
      </c>
      <c r="G125" s="15" t="s">
        <v>14</v>
      </c>
      <c r="H125" s="16">
        <v>45101</v>
      </c>
      <c r="I125" s="15" t="s">
        <v>146</v>
      </c>
      <c r="J125" s="12">
        <v>1</v>
      </c>
      <c r="K125" s="18" t="s">
        <v>58</v>
      </c>
    </row>
    <row r="126" spans="1:11" ht="26" customHeight="1" x14ac:dyDescent="0.35">
      <c r="A126" s="12">
        <v>125</v>
      </c>
      <c r="B126" s="13">
        <v>33235</v>
      </c>
      <c r="C126" s="21">
        <v>217614000201</v>
      </c>
      <c r="D126" s="14" t="s">
        <v>193</v>
      </c>
      <c r="E126" s="12" t="s">
        <v>12</v>
      </c>
      <c r="F126" s="12" t="s">
        <v>13</v>
      </c>
      <c r="G126" s="15" t="s">
        <v>14</v>
      </c>
      <c r="H126" s="16">
        <v>45102</v>
      </c>
      <c r="I126" s="15" t="s">
        <v>147</v>
      </c>
      <c r="J126" s="12">
        <v>1</v>
      </c>
      <c r="K126" s="18" t="s">
        <v>58</v>
      </c>
    </row>
    <row r="127" spans="1:11" ht="26" customHeight="1" x14ac:dyDescent="0.35">
      <c r="A127" s="12">
        <v>126</v>
      </c>
      <c r="B127" s="13">
        <v>33235</v>
      </c>
      <c r="C127" s="21">
        <v>217614000201</v>
      </c>
      <c r="D127" s="14" t="s">
        <v>193</v>
      </c>
      <c r="E127" s="12" t="s">
        <v>12</v>
      </c>
      <c r="F127" s="12" t="s">
        <v>13</v>
      </c>
      <c r="G127" s="15" t="s">
        <v>14</v>
      </c>
      <c r="H127" s="16">
        <v>45113</v>
      </c>
      <c r="I127" s="15" t="s">
        <v>148</v>
      </c>
      <c r="J127" s="12">
        <v>1</v>
      </c>
      <c r="K127" s="12">
        <v>175</v>
      </c>
    </row>
    <row r="128" spans="1:11" ht="26" customHeight="1" x14ac:dyDescent="0.35">
      <c r="A128" s="12">
        <v>127</v>
      </c>
      <c r="B128" s="13">
        <v>33235</v>
      </c>
      <c r="C128" s="21">
        <v>217614000201</v>
      </c>
      <c r="D128" s="14" t="s">
        <v>193</v>
      </c>
      <c r="E128" s="12" t="s">
        <v>12</v>
      </c>
      <c r="F128" s="12" t="s">
        <v>13</v>
      </c>
      <c r="G128" s="15" t="s">
        <v>14</v>
      </c>
      <c r="H128" s="16">
        <v>45092</v>
      </c>
      <c r="I128" s="15" t="s">
        <v>149</v>
      </c>
      <c r="J128" s="12">
        <v>1</v>
      </c>
      <c r="K128" s="18" t="s">
        <v>199</v>
      </c>
    </row>
    <row r="129" spans="1:11" ht="39" customHeight="1" x14ac:dyDescent="0.35">
      <c r="A129" s="12">
        <v>128</v>
      </c>
      <c r="B129" s="13">
        <v>33290</v>
      </c>
      <c r="C129" s="21">
        <v>217616000259</v>
      </c>
      <c r="D129" s="14" t="s">
        <v>200</v>
      </c>
      <c r="E129" s="12" t="s">
        <v>201</v>
      </c>
      <c r="F129" s="12" t="s">
        <v>13</v>
      </c>
      <c r="G129" s="15" t="s">
        <v>14</v>
      </c>
      <c r="H129" s="16">
        <v>45052</v>
      </c>
      <c r="I129" s="16" t="s">
        <v>40</v>
      </c>
      <c r="J129" s="12">
        <v>1</v>
      </c>
      <c r="K129" s="12" t="s">
        <v>202</v>
      </c>
    </row>
    <row r="130" spans="1:11" ht="39" customHeight="1" x14ac:dyDescent="0.35">
      <c r="A130" s="12">
        <v>129</v>
      </c>
      <c r="B130" s="13">
        <v>33290</v>
      </c>
      <c r="C130" s="21">
        <v>217616000259</v>
      </c>
      <c r="D130" s="14" t="s">
        <v>200</v>
      </c>
      <c r="E130" s="12" t="s">
        <v>201</v>
      </c>
      <c r="F130" s="12" t="s">
        <v>13</v>
      </c>
      <c r="G130" s="15" t="s">
        <v>14</v>
      </c>
      <c r="H130" s="16">
        <v>45057</v>
      </c>
      <c r="I130" s="16" t="s">
        <v>54</v>
      </c>
      <c r="J130" s="12">
        <v>1</v>
      </c>
      <c r="K130" s="18" t="s">
        <v>203</v>
      </c>
    </row>
    <row r="131" spans="1:11" ht="26" customHeight="1" x14ac:dyDescent="0.35">
      <c r="A131" s="12">
        <v>130</v>
      </c>
      <c r="B131" s="13">
        <v>19768</v>
      </c>
      <c r="C131" s="21">
        <v>217662000093</v>
      </c>
      <c r="D131" s="14" t="s">
        <v>204</v>
      </c>
      <c r="E131" s="12" t="s">
        <v>94</v>
      </c>
      <c r="F131" s="12" t="s">
        <v>13</v>
      </c>
      <c r="G131" s="15" t="s">
        <v>14</v>
      </c>
      <c r="H131" s="16">
        <v>45058</v>
      </c>
      <c r="I131" s="16" t="s">
        <v>87</v>
      </c>
      <c r="J131" s="12">
        <v>1</v>
      </c>
      <c r="K131" s="18" t="s">
        <v>205</v>
      </c>
    </row>
    <row r="132" spans="1:11" ht="26" customHeight="1" x14ac:dyDescent="0.35">
      <c r="A132" s="12">
        <v>131</v>
      </c>
      <c r="B132" s="13">
        <v>19768</v>
      </c>
      <c r="C132" s="21">
        <v>217662000093</v>
      </c>
      <c r="D132" s="14" t="s">
        <v>204</v>
      </c>
      <c r="E132" s="12" t="s">
        <v>94</v>
      </c>
      <c r="F132" s="12" t="s">
        <v>13</v>
      </c>
      <c r="G132" s="15" t="s">
        <v>14</v>
      </c>
      <c r="H132" s="16">
        <v>45089</v>
      </c>
      <c r="I132" s="16" t="s">
        <v>89</v>
      </c>
      <c r="J132" s="12">
        <v>1</v>
      </c>
      <c r="K132" s="18" t="s">
        <v>206</v>
      </c>
    </row>
    <row r="133" spans="1:11" ht="26" customHeight="1" x14ac:dyDescent="0.35">
      <c r="A133" s="12">
        <v>132</v>
      </c>
      <c r="B133" s="13">
        <v>19768</v>
      </c>
      <c r="C133" s="21">
        <v>217662000093</v>
      </c>
      <c r="D133" s="14" t="s">
        <v>204</v>
      </c>
      <c r="E133" s="12" t="s">
        <v>94</v>
      </c>
      <c r="F133" s="12" t="s">
        <v>13</v>
      </c>
      <c r="G133" s="15" t="s">
        <v>14</v>
      </c>
      <c r="H133" s="16">
        <v>45078</v>
      </c>
      <c r="I133" s="16" t="s">
        <v>59</v>
      </c>
      <c r="J133" s="12">
        <v>1</v>
      </c>
      <c r="K133" s="18" t="s">
        <v>207</v>
      </c>
    </row>
    <row r="134" spans="1:11" ht="39" customHeight="1" x14ac:dyDescent="0.35">
      <c r="A134" s="12">
        <v>133</v>
      </c>
      <c r="B134" s="13">
        <v>689</v>
      </c>
      <c r="C134" s="21">
        <v>217777000089</v>
      </c>
      <c r="D134" s="14" t="s">
        <v>208</v>
      </c>
      <c r="E134" s="12" t="s">
        <v>71</v>
      </c>
      <c r="F134" s="12" t="s">
        <v>13</v>
      </c>
      <c r="G134" s="15" t="s">
        <v>14</v>
      </c>
      <c r="H134" s="16">
        <v>45058</v>
      </c>
      <c r="I134" s="16" t="s">
        <v>87</v>
      </c>
      <c r="J134" s="12">
        <v>1</v>
      </c>
      <c r="K134" s="18" t="s">
        <v>209</v>
      </c>
    </row>
    <row r="135" spans="1:11" ht="39" customHeight="1" x14ac:dyDescent="0.35">
      <c r="A135" s="12">
        <v>134</v>
      </c>
      <c r="B135" s="13">
        <v>689</v>
      </c>
      <c r="C135" s="21">
        <v>217777000089</v>
      </c>
      <c r="D135" s="14" t="s">
        <v>208</v>
      </c>
      <c r="E135" s="12" t="s">
        <v>71</v>
      </c>
      <c r="F135" s="12" t="s">
        <v>13</v>
      </c>
      <c r="G135" s="15" t="s">
        <v>14</v>
      </c>
      <c r="H135" s="16">
        <v>45089</v>
      </c>
      <c r="I135" s="16" t="s">
        <v>89</v>
      </c>
      <c r="J135" s="12">
        <v>1</v>
      </c>
      <c r="K135" s="18" t="s">
        <v>210</v>
      </c>
    </row>
    <row r="136" spans="1:11" ht="39" customHeight="1" x14ac:dyDescent="0.35">
      <c r="A136" s="12">
        <v>135</v>
      </c>
      <c r="B136" s="13">
        <v>689</v>
      </c>
      <c r="C136" s="21">
        <v>217777000089</v>
      </c>
      <c r="D136" s="14" t="s">
        <v>208</v>
      </c>
      <c r="E136" s="12" t="s">
        <v>71</v>
      </c>
      <c r="F136" s="12" t="s">
        <v>13</v>
      </c>
      <c r="G136" s="15" t="s">
        <v>14</v>
      </c>
      <c r="H136" s="16">
        <v>45055</v>
      </c>
      <c r="I136" s="16" t="s">
        <v>15</v>
      </c>
      <c r="J136" s="12">
        <v>1</v>
      </c>
      <c r="K136" s="18" t="s">
        <v>211</v>
      </c>
    </row>
    <row r="137" spans="1:11" ht="39" customHeight="1" x14ac:dyDescent="0.35">
      <c r="A137" s="12">
        <v>136</v>
      </c>
      <c r="B137" s="13">
        <v>689</v>
      </c>
      <c r="C137" s="21">
        <v>217777000089</v>
      </c>
      <c r="D137" s="14" t="s">
        <v>208</v>
      </c>
      <c r="E137" s="12" t="s">
        <v>71</v>
      </c>
      <c r="F137" s="12" t="s">
        <v>13</v>
      </c>
      <c r="G137" s="15" t="s">
        <v>14</v>
      </c>
      <c r="H137" s="16">
        <v>45056</v>
      </c>
      <c r="I137" s="16" t="s">
        <v>17</v>
      </c>
      <c r="J137" s="12">
        <v>1</v>
      </c>
      <c r="K137" s="12" t="s">
        <v>212</v>
      </c>
    </row>
    <row r="138" spans="1:11" ht="39" customHeight="1" x14ac:dyDescent="0.35">
      <c r="A138" s="12">
        <v>137</v>
      </c>
      <c r="B138" s="13">
        <v>689</v>
      </c>
      <c r="C138" s="21">
        <v>217777000089</v>
      </c>
      <c r="D138" s="14" t="s">
        <v>208</v>
      </c>
      <c r="E138" s="12" t="s">
        <v>71</v>
      </c>
      <c r="F138" s="12" t="s">
        <v>13</v>
      </c>
      <c r="G138" s="15" t="s">
        <v>14</v>
      </c>
      <c r="H138" s="16">
        <v>45070</v>
      </c>
      <c r="I138" s="16" t="s">
        <v>91</v>
      </c>
      <c r="J138" s="12">
        <v>1</v>
      </c>
      <c r="K138" s="18" t="s">
        <v>213</v>
      </c>
    </row>
    <row r="139" spans="1:11" ht="39" customHeight="1" x14ac:dyDescent="0.35">
      <c r="A139" s="12">
        <v>138</v>
      </c>
      <c r="B139" s="13">
        <v>689</v>
      </c>
      <c r="C139" s="21">
        <v>217777000089</v>
      </c>
      <c r="D139" s="14" t="s">
        <v>208</v>
      </c>
      <c r="E139" s="12" t="s">
        <v>71</v>
      </c>
      <c r="F139" s="12" t="s">
        <v>13</v>
      </c>
      <c r="G139" s="15" t="s">
        <v>14</v>
      </c>
      <c r="H139" s="16">
        <v>45070</v>
      </c>
      <c r="I139" s="16" t="s">
        <v>91</v>
      </c>
      <c r="J139" s="12">
        <v>1</v>
      </c>
      <c r="K139" s="18" t="s">
        <v>214</v>
      </c>
    </row>
    <row r="140" spans="1:11" ht="26" customHeight="1" x14ac:dyDescent="0.35">
      <c r="A140" s="12">
        <v>139</v>
      </c>
      <c r="B140" s="13">
        <v>33110</v>
      </c>
      <c r="C140" s="21">
        <v>217513000064</v>
      </c>
      <c r="D140" s="14" t="s">
        <v>215</v>
      </c>
      <c r="E140" s="12" t="s">
        <v>130</v>
      </c>
      <c r="F140" s="12" t="s">
        <v>13</v>
      </c>
      <c r="G140" s="15" t="s">
        <v>14</v>
      </c>
      <c r="H140" s="16">
        <v>45058</v>
      </c>
      <c r="I140" s="16" t="s">
        <v>87</v>
      </c>
      <c r="J140" s="12">
        <v>1</v>
      </c>
      <c r="K140" s="18" t="s">
        <v>216</v>
      </c>
    </row>
    <row r="141" spans="1:11" ht="26" customHeight="1" x14ac:dyDescent="0.35">
      <c r="A141" s="12">
        <v>140</v>
      </c>
      <c r="B141" s="13">
        <v>33110</v>
      </c>
      <c r="C141" s="21">
        <v>217513000064</v>
      </c>
      <c r="D141" s="14" t="s">
        <v>215</v>
      </c>
      <c r="E141" s="12" t="s">
        <v>130</v>
      </c>
      <c r="F141" s="12" t="s">
        <v>13</v>
      </c>
      <c r="G141" s="15" t="s">
        <v>14</v>
      </c>
      <c r="H141" s="16">
        <v>45089</v>
      </c>
      <c r="I141" s="16" t="s">
        <v>89</v>
      </c>
      <c r="J141" s="12">
        <v>1</v>
      </c>
      <c r="K141" s="18" t="s">
        <v>217</v>
      </c>
    </row>
    <row r="142" spans="1:11" ht="26" customHeight="1" x14ac:dyDescent="0.35">
      <c r="A142" s="12">
        <v>141</v>
      </c>
      <c r="B142" s="13">
        <v>33110</v>
      </c>
      <c r="C142" s="21">
        <v>217513000064</v>
      </c>
      <c r="D142" s="14" t="s">
        <v>215</v>
      </c>
      <c r="E142" s="12" t="s">
        <v>130</v>
      </c>
      <c r="F142" s="12" t="s">
        <v>13</v>
      </c>
      <c r="G142" s="15" t="s">
        <v>14</v>
      </c>
      <c r="H142" s="16">
        <v>45055</v>
      </c>
      <c r="I142" s="16" t="s">
        <v>15</v>
      </c>
      <c r="J142" s="12">
        <v>1</v>
      </c>
      <c r="K142" s="18" t="s">
        <v>218</v>
      </c>
    </row>
    <row r="143" spans="1:11" ht="26" customHeight="1" x14ac:dyDescent="0.35">
      <c r="A143" s="12">
        <v>142</v>
      </c>
      <c r="B143" s="13">
        <v>33110</v>
      </c>
      <c r="C143" s="21">
        <v>217513000064</v>
      </c>
      <c r="D143" s="14" t="s">
        <v>215</v>
      </c>
      <c r="E143" s="12" t="s">
        <v>130</v>
      </c>
      <c r="F143" s="12" t="s">
        <v>13</v>
      </c>
      <c r="G143" s="15" t="s">
        <v>14</v>
      </c>
      <c r="H143" s="16">
        <v>45056</v>
      </c>
      <c r="I143" s="16" t="s">
        <v>17</v>
      </c>
      <c r="J143" s="12">
        <v>1</v>
      </c>
      <c r="K143" s="12" t="s">
        <v>219</v>
      </c>
    </row>
    <row r="144" spans="1:11" ht="26" customHeight="1" x14ac:dyDescent="0.35">
      <c r="A144" s="12">
        <v>143</v>
      </c>
      <c r="B144" s="13">
        <v>33110</v>
      </c>
      <c r="C144" s="21">
        <v>217513000064</v>
      </c>
      <c r="D144" s="14" t="s">
        <v>215</v>
      </c>
      <c r="E144" s="12" t="s">
        <v>130</v>
      </c>
      <c r="F144" s="12" t="s">
        <v>13</v>
      </c>
      <c r="G144" s="15" t="s">
        <v>14</v>
      </c>
      <c r="H144" s="16">
        <v>45070</v>
      </c>
      <c r="I144" s="16" t="s">
        <v>91</v>
      </c>
      <c r="J144" s="12">
        <v>1</v>
      </c>
      <c r="K144" s="18" t="s">
        <v>220</v>
      </c>
    </row>
    <row r="145" spans="1:11" ht="26" customHeight="1" x14ac:dyDescent="0.35">
      <c r="A145" s="12">
        <v>144</v>
      </c>
      <c r="B145" s="13">
        <v>33110</v>
      </c>
      <c r="C145" s="21">
        <v>217513000064</v>
      </c>
      <c r="D145" s="14" t="s">
        <v>215</v>
      </c>
      <c r="E145" s="12" t="s">
        <v>130</v>
      </c>
      <c r="F145" s="12" t="s">
        <v>13</v>
      </c>
      <c r="G145" s="15" t="s">
        <v>14</v>
      </c>
      <c r="H145" s="16">
        <v>45070</v>
      </c>
      <c r="I145" s="16" t="s">
        <v>91</v>
      </c>
      <c r="J145" s="12">
        <v>1</v>
      </c>
      <c r="K145" s="18" t="s">
        <v>221</v>
      </c>
    </row>
    <row r="146" spans="1:11" ht="26" customHeight="1" x14ac:dyDescent="0.35">
      <c r="A146" s="12">
        <v>145</v>
      </c>
      <c r="B146" s="13">
        <v>32991</v>
      </c>
      <c r="C146" s="21">
        <v>217442000033</v>
      </c>
      <c r="D146" s="14" t="s">
        <v>222</v>
      </c>
      <c r="E146" s="12" t="s">
        <v>189</v>
      </c>
      <c r="F146" s="12" t="s">
        <v>13</v>
      </c>
      <c r="G146" s="15" t="s">
        <v>14</v>
      </c>
      <c r="H146" s="16">
        <v>45059</v>
      </c>
      <c r="I146" s="16" t="s">
        <v>42</v>
      </c>
      <c r="J146" s="12">
        <v>1</v>
      </c>
      <c r="K146" s="18" t="s">
        <v>223</v>
      </c>
    </row>
    <row r="147" spans="1:11" ht="26" customHeight="1" x14ac:dyDescent="0.35">
      <c r="A147" s="12">
        <v>146</v>
      </c>
      <c r="B147" s="13">
        <v>32991</v>
      </c>
      <c r="C147" s="21">
        <v>217442000033</v>
      </c>
      <c r="D147" s="14" t="s">
        <v>222</v>
      </c>
      <c r="E147" s="12" t="s">
        <v>189</v>
      </c>
      <c r="F147" s="12" t="s">
        <v>13</v>
      </c>
      <c r="G147" s="15" t="s">
        <v>14</v>
      </c>
      <c r="H147" s="16">
        <v>45090</v>
      </c>
      <c r="I147" s="16" t="s">
        <v>44</v>
      </c>
      <c r="J147" s="12">
        <v>1</v>
      </c>
      <c r="K147" s="18" t="s">
        <v>224</v>
      </c>
    </row>
    <row r="148" spans="1:11" ht="26" customHeight="1" x14ac:dyDescent="0.35">
      <c r="A148" s="12">
        <v>147</v>
      </c>
      <c r="B148" s="13">
        <v>32991</v>
      </c>
      <c r="C148" s="21">
        <v>217442000033</v>
      </c>
      <c r="D148" s="14" t="s">
        <v>222</v>
      </c>
      <c r="E148" s="12" t="s">
        <v>189</v>
      </c>
      <c r="F148" s="12" t="s">
        <v>13</v>
      </c>
      <c r="G148" s="15" t="s">
        <v>14</v>
      </c>
      <c r="H148" s="16">
        <v>45055</v>
      </c>
      <c r="I148" s="16" t="s">
        <v>15</v>
      </c>
      <c r="J148" s="12">
        <v>1</v>
      </c>
      <c r="K148" s="18" t="s">
        <v>225</v>
      </c>
    </row>
    <row r="149" spans="1:11" ht="26" customHeight="1" x14ac:dyDescent="0.35">
      <c r="A149" s="12">
        <v>148</v>
      </c>
      <c r="B149" s="13">
        <v>32991</v>
      </c>
      <c r="C149" s="21">
        <v>217442000033</v>
      </c>
      <c r="D149" s="14" t="s">
        <v>222</v>
      </c>
      <c r="E149" s="12" t="s">
        <v>189</v>
      </c>
      <c r="F149" s="12" t="s">
        <v>13</v>
      </c>
      <c r="G149" s="15" t="s">
        <v>14</v>
      </c>
      <c r="H149" s="16">
        <v>45056</v>
      </c>
      <c r="I149" s="16" t="s">
        <v>17</v>
      </c>
      <c r="J149" s="12">
        <v>1</v>
      </c>
      <c r="K149" s="12" t="s">
        <v>226</v>
      </c>
    </row>
    <row r="150" spans="1:11" ht="26" customHeight="1" x14ac:dyDescent="0.35">
      <c r="A150" s="12">
        <v>149</v>
      </c>
      <c r="B150" s="13">
        <v>33005</v>
      </c>
      <c r="C150" s="21">
        <v>217444000014</v>
      </c>
      <c r="D150" s="14" t="s">
        <v>227</v>
      </c>
      <c r="E150" s="12" t="s">
        <v>154</v>
      </c>
      <c r="F150" s="12" t="s">
        <v>13</v>
      </c>
      <c r="G150" s="15" t="s">
        <v>14</v>
      </c>
      <c r="H150" s="16">
        <v>45059</v>
      </c>
      <c r="I150" s="16" t="s">
        <v>42</v>
      </c>
      <c r="J150" s="12">
        <v>1</v>
      </c>
      <c r="K150" s="18" t="s">
        <v>228</v>
      </c>
    </row>
    <row r="151" spans="1:11" ht="26" customHeight="1" x14ac:dyDescent="0.35">
      <c r="A151" s="12">
        <v>150</v>
      </c>
      <c r="B151" s="13">
        <v>33005</v>
      </c>
      <c r="C151" s="21">
        <v>217444000014</v>
      </c>
      <c r="D151" s="14" t="s">
        <v>227</v>
      </c>
      <c r="E151" s="12" t="s">
        <v>154</v>
      </c>
      <c r="F151" s="12" t="s">
        <v>13</v>
      </c>
      <c r="G151" s="15" t="s">
        <v>14</v>
      </c>
      <c r="H151" s="16">
        <v>45090</v>
      </c>
      <c r="I151" s="16" t="s">
        <v>44</v>
      </c>
      <c r="J151" s="12">
        <v>1</v>
      </c>
      <c r="K151" s="18" t="s">
        <v>229</v>
      </c>
    </row>
    <row r="152" spans="1:11" ht="26" customHeight="1" x14ac:dyDescent="0.35">
      <c r="A152" s="12">
        <v>151</v>
      </c>
      <c r="B152" s="13">
        <v>33005</v>
      </c>
      <c r="C152" s="21">
        <v>217444000014</v>
      </c>
      <c r="D152" s="14" t="s">
        <v>227</v>
      </c>
      <c r="E152" s="12" t="s">
        <v>154</v>
      </c>
      <c r="F152" s="12" t="s">
        <v>13</v>
      </c>
      <c r="G152" s="15" t="s">
        <v>14</v>
      </c>
      <c r="H152" s="16">
        <v>45055</v>
      </c>
      <c r="I152" s="16" t="s">
        <v>15</v>
      </c>
      <c r="J152" s="12">
        <v>1</v>
      </c>
      <c r="K152" s="12" t="s">
        <v>230</v>
      </c>
    </row>
    <row r="153" spans="1:11" ht="26" customHeight="1" x14ac:dyDescent="0.35">
      <c r="A153" s="12">
        <v>152</v>
      </c>
      <c r="B153" s="13">
        <v>33005</v>
      </c>
      <c r="C153" s="21">
        <v>217444000014</v>
      </c>
      <c r="D153" s="14" t="s">
        <v>227</v>
      </c>
      <c r="E153" s="12" t="s">
        <v>154</v>
      </c>
      <c r="F153" s="12" t="s">
        <v>13</v>
      </c>
      <c r="G153" s="15" t="s">
        <v>14</v>
      </c>
      <c r="H153" s="16">
        <v>45056</v>
      </c>
      <c r="I153" s="16" t="s">
        <v>17</v>
      </c>
      <c r="J153" s="12">
        <v>1</v>
      </c>
      <c r="K153" s="12" t="s">
        <v>231</v>
      </c>
    </row>
    <row r="154" spans="1:11" ht="26" customHeight="1" x14ac:dyDescent="0.35">
      <c r="A154" s="12">
        <v>153</v>
      </c>
      <c r="B154" s="13">
        <v>8474</v>
      </c>
      <c r="C154" s="21">
        <v>217380000856</v>
      </c>
      <c r="D154" s="14" t="s">
        <v>232</v>
      </c>
      <c r="E154" s="12" t="s">
        <v>162</v>
      </c>
      <c r="F154" s="12" t="s">
        <v>13</v>
      </c>
      <c r="G154" s="15" t="s">
        <v>14</v>
      </c>
      <c r="H154" s="16">
        <v>45075</v>
      </c>
      <c r="I154" s="16" t="s">
        <v>233</v>
      </c>
      <c r="J154" s="12">
        <v>1</v>
      </c>
      <c r="K154" s="12" t="s">
        <v>234</v>
      </c>
    </row>
    <row r="155" spans="1:11" ht="26" customHeight="1" x14ac:dyDescent="0.35">
      <c r="A155" s="12">
        <v>154</v>
      </c>
      <c r="B155" s="13">
        <v>8474</v>
      </c>
      <c r="C155" s="21">
        <v>217380000856</v>
      </c>
      <c r="D155" s="14" t="s">
        <v>232</v>
      </c>
      <c r="E155" s="12" t="s">
        <v>162</v>
      </c>
      <c r="F155" s="12" t="s">
        <v>13</v>
      </c>
      <c r="G155" s="15" t="s">
        <v>14</v>
      </c>
      <c r="H155" s="16">
        <v>45077</v>
      </c>
      <c r="I155" s="16" t="s">
        <v>235</v>
      </c>
      <c r="J155" s="12">
        <v>1</v>
      </c>
      <c r="K155" s="12" t="s">
        <v>236</v>
      </c>
    </row>
    <row r="156" spans="1:11" ht="29" customHeight="1" x14ac:dyDescent="0.35">
      <c r="A156" s="12">
        <v>155</v>
      </c>
      <c r="B156" s="13">
        <v>8474</v>
      </c>
      <c r="C156" s="21">
        <v>217380000856</v>
      </c>
      <c r="D156" s="14" t="s">
        <v>232</v>
      </c>
      <c r="E156" s="12" t="s">
        <v>162</v>
      </c>
      <c r="F156" s="12" t="s">
        <v>13</v>
      </c>
      <c r="G156" s="15" t="s">
        <v>14</v>
      </c>
      <c r="H156" s="16">
        <v>45117</v>
      </c>
      <c r="I156" s="17" t="s">
        <v>19</v>
      </c>
      <c r="J156" s="12">
        <v>1</v>
      </c>
      <c r="K156" s="12" t="s">
        <v>237</v>
      </c>
    </row>
    <row r="157" spans="1:11" ht="39" customHeight="1" x14ac:dyDescent="0.35">
      <c r="A157" s="12">
        <v>156</v>
      </c>
      <c r="B157" s="13">
        <v>33302</v>
      </c>
      <c r="C157" s="21">
        <v>217616000046</v>
      </c>
      <c r="D157" s="14" t="s">
        <v>238</v>
      </c>
      <c r="E157" s="12" t="s">
        <v>201</v>
      </c>
      <c r="F157" s="12" t="s">
        <v>13</v>
      </c>
      <c r="G157" s="15" t="s">
        <v>14</v>
      </c>
      <c r="H157" s="16">
        <v>45055</v>
      </c>
      <c r="I157" s="16" t="s">
        <v>15</v>
      </c>
      <c r="J157" s="12">
        <v>1</v>
      </c>
      <c r="K157" s="12" t="s">
        <v>239</v>
      </c>
    </row>
    <row r="158" spans="1:11" ht="39" customHeight="1" x14ac:dyDescent="0.35">
      <c r="A158" s="12">
        <v>157</v>
      </c>
      <c r="B158" s="13">
        <v>33302</v>
      </c>
      <c r="C158" s="21">
        <v>217616000046</v>
      </c>
      <c r="D158" s="14" t="s">
        <v>238</v>
      </c>
      <c r="E158" s="12" t="s">
        <v>201</v>
      </c>
      <c r="F158" s="12" t="s">
        <v>13</v>
      </c>
      <c r="G158" s="15" t="s">
        <v>14</v>
      </c>
      <c r="H158" s="16">
        <v>45056</v>
      </c>
      <c r="I158" s="16" t="s">
        <v>17</v>
      </c>
      <c r="J158" s="12">
        <v>1</v>
      </c>
      <c r="K158" s="12" t="s">
        <v>240</v>
      </c>
    </row>
    <row r="159" spans="1:11" ht="26" customHeight="1" x14ac:dyDescent="0.35">
      <c r="A159" s="12">
        <v>158</v>
      </c>
      <c r="B159" s="13">
        <v>16309</v>
      </c>
      <c r="C159" s="21">
        <v>117442000063</v>
      </c>
      <c r="D159" s="14" t="s">
        <v>241</v>
      </c>
      <c r="E159" s="12" t="s">
        <v>189</v>
      </c>
      <c r="F159" s="12" t="s">
        <v>13</v>
      </c>
      <c r="G159" s="15" t="s">
        <v>14</v>
      </c>
      <c r="H159" s="16">
        <v>45059</v>
      </c>
      <c r="I159" s="16" t="s">
        <v>42</v>
      </c>
      <c r="J159" s="12">
        <v>1</v>
      </c>
      <c r="K159" s="12" t="s">
        <v>242</v>
      </c>
    </row>
    <row r="160" spans="1:11" ht="26" customHeight="1" x14ac:dyDescent="0.35">
      <c r="A160" s="12">
        <v>159</v>
      </c>
      <c r="B160" s="13">
        <v>16309</v>
      </c>
      <c r="C160" s="21">
        <v>117442000063</v>
      </c>
      <c r="D160" s="14" t="s">
        <v>241</v>
      </c>
      <c r="E160" s="12" t="s">
        <v>189</v>
      </c>
      <c r="F160" s="12" t="s">
        <v>13</v>
      </c>
      <c r="G160" s="15" t="s">
        <v>14</v>
      </c>
      <c r="H160" s="16">
        <v>45090</v>
      </c>
      <c r="I160" s="16" t="s">
        <v>44</v>
      </c>
      <c r="J160" s="12">
        <v>1</v>
      </c>
      <c r="K160" s="12" t="s">
        <v>243</v>
      </c>
    </row>
    <row r="161" spans="1:11" ht="26" customHeight="1" x14ac:dyDescent="0.35">
      <c r="A161" s="12">
        <v>160</v>
      </c>
      <c r="B161" s="13">
        <v>16309</v>
      </c>
      <c r="C161" s="21">
        <v>117442000063</v>
      </c>
      <c r="D161" s="14" t="s">
        <v>241</v>
      </c>
      <c r="E161" s="12" t="s">
        <v>189</v>
      </c>
      <c r="F161" s="12" t="s">
        <v>13</v>
      </c>
      <c r="G161" s="15" t="s">
        <v>14</v>
      </c>
      <c r="H161" s="12">
        <v>45012</v>
      </c>
      <c r="I161" s="19" t="s">
        <v>244</v>
      </c>
      <c r="J161" s="12">
        <v>4</v>
      </c>
      <c r="K161" s="12" t="s">
        <v>58</v>
      </c>
    </row>
    <row r="162" spans="1:11" ht="39" customHeight="1" x14ac:dyDescent="0.35">
      <c r="A162" s="12">
        <v>161</v>
      </c>
      <c r="B162" s="13">
        <v>84728</v>
      </c>
      <c r="C162" s="21">
        <v>117614000711</v>
      </c>
      <c r="D162" s="14" t="s">
        <v>245</v>
      </c>
      <c r="E162" s="12" t="s">
        <v>12</v>
      </c>
      <c r="F162" s="12" t="s">
        <v>13</v>
      </c>
      <c r="G162" s="15" t="s">
        <v>14</v>
      </c>
      <c r="H162" s="16">
        <v>45057</v>
      </c>
      <c r="I162" s="16" t="s">
        <v>54</v>
      </c>
      <c r="J162" s="12">
        <v>1</v>
      </c>
      <c r="K162" s="12" t="s">
        <v>246</v>
      </c>
    </row>
    <row r="163" spans="1:11" ht="39" customHeight="1" x14ac:dyDescent="0.35">
      <c r="A163" s="12">
        <v>162</v>
      </c>
      <c r="B163" s="13">
        <v>84720</v>
      </c>
      <c r="C163" s="21">
        <v>117446000157</v>
      </c>
      <c r="D163" s="14" t="s">
        <v>247</v>
      </c>
      <c r="E163" s="12" t="s">
        <v>248</v>
      </c>
      <c r="F163" s="12" t="s">
        <v>13</v>
      </c>
      <c r="G163" s="15" t="s">
        <v>14</v>
      </c>
      <c r="H163" s="16">
        <v>45055</v>
      </c>
      <c r="I163" s="16" t="s">
        <v>15</v>
      </c>
      <c r="J163" s="12">
        <v>1</v>
      </c>
      <c r="K163" s="12" t="s">
        <v>249</v>
      </c>
    </row>
    <row r="164" spans="1:11" ht="39" customHeight="1" x14ac:dyDescent="0.35">
      <c r="A164" s="12">
        <v>163</v>
      </c>
      <c r="B164" s="13">
        <v>84720</v>
      </c>
      <c r="C164" s="21">
        <v>117446000157</v>
      </c>
      <c r="D164" s="14" t="s">
        <v>247</v>
      </c>
      <c r="E164" s="12" t="s">
        <v>248</v>
      </c>
      <c r="F164" s="12" t="s">
        <v>13</v>
      </c>
      <c r="G164" s="15" t="s">
        <v>14</v>
      </c>
      <c r="H164" s="16">
        <v>45056</v>
      </c>
      <c r="I164" s="16" t="s">
        <v>17</v>
      </c>
      <c r="J164" s="12">
        <v>1</v>
      </c>
      <c r="K164" s="12" t="s">
        <v>250</v>
      </c>
    </row>
    <row r="165" spans="1:11" ht="39" customHeight="1" x14ac:dyDescent="0.35">
      <c r="A165" s="12">
        <v>164</v>
      </c>
      <c r="B165" s="13">
        <v>86470</v>
      </c>
      <c r="C165" s="21">
        <v>117013000292</v>
      </c>
      <c r="D165" s="14" t="s">
        <v>251</v>
      </c>
      <c r="E165" s="12" t="s">
        <v>252</v>
      </c>
      <c r="F165" s="12" t="s">
        <v>13</v>
      </c>
      <c r="G165" s="15" t="s">
        <v>14</v>
      </c>
      <c r="H165" s="16">
        <v>45055</v>
      </c>
      <c r="I165" s="16" t="s">
        <v>15</v>
      </c>
      <c r="J165" s="12">
        <v>1</v>
      </c>
      <c r="K165" s="12" t="s">
        <v>253</v>
      </c>
    </row>
    <row r="166" spans="1:11" ht="39" customHeight="1" x14ac:dyDescent="0.35">
      <c r="A166" s="12">
        <v>165</v>
      </c>
      <c r="B166" s="13">
        <v>86470</v>
      </c>
      <c r="C166" s="21">
        <v>117013000292</v>
      </c>
      <c r="D166" s="14" t="s">
        <v>251</v>
      </c>
      <c r="E166" s="12" t="s">
        <v>252</v>
      </c>
      <c r="F166" s="12" t="s">
        <v>13</v>
      </c>
      <c r="G166" s="15" t="s">
        <v>14</v>
      </c>
      <c r="H166" s="16">
        <v>45056</v>
      </c>
      <c r="I166" s="16" t="s">
        <v>17</v>
      </c>
      <c r="J166" s="12">
        <v>1</v>
      </c>
      <c r="K166" s="12" t="s">
        <v>254</v>
      </c>
    </row>
    <row r="167" spans="1:11" ht="39" customHeight="1" x14ac:dyDescent="0.35">
      <c r="A167" s="12">
        <v>166</v>
      </c>
      <c r="B167" s="13">
        <v>91167</v>
      </c>
      <c r="C167" s="21">
        <v>217541001793</v>
      </c>
      <c r="D167" s="14" t="s">
        <v>255</v>
      </c>
      <c r="E167" s="12" t="s">
        <v>113</v>
      </c>
      <c r="F167" s="12" t="s">
        <v>13</v>
      </c>
      <c r="G167" s="15" t="s">
        <v>14</v>
      </c>
      <c r="H167" s="16">
        <v>45055</v>
      </c>
      <c r="I167" s="16" t="s">
        <v>15</v>
      </c>
      <c r="J167" s="12">
        <v>1</v>
      </c>
      <c r="K167" s="12" t="s">
        <v>256</v>
      </c>
    </row>
    <row r="168" spans="1:11" ht="39" customHeight="1" x14ac:dyDescent="0.35">
      <c r="A168" s="12">
        <v>167</v>
      </c>
      <c r="B168" s="13">
        <v>91167</v>
      </c>
      <c r="C168" s="21">
        <v>217541001793</v>
      </c>
      <c r="D168" s="14" t="s">
        <v>255</v>
      </c>
      <c r="E168" s="12" t="s">
        <v>113</v>
      </c>
      <c r="F168" s="12" t="s">
        <v>13</v>
      </c>
      <c r="G168" s="15" t="s">
        <v>14</v>
      </c>
      <c r="H168" s="16">
        <v>45056</v>
      </c>
      <c r="I168" s="16" t="s">
        <v>17</v>
      </c>
      <c r="J168" s="12">
        <v>1</v>
      </c>
      <c r="K168" s="12" t="s">
        <v>257</v>
      </c>
    </row>
    <row r="169" spans="1:11" ht="26" customHeight="1" x14ac:dyDescent="0.35">
      <c r="A169" s="12">
        <v>168</v>
      </c>
      <c r="B169" s="13">
        <v>83042</v>
      </c>
      <c r="C169" s="21">
        <v>217541000673</v>
      </c>
      <c r="D169" s="14" t="s">
        <v>258</v>
      </c>
      <c r="E169" s="12" t="s">
        <v>113</v>
      </c>
      <c r="F169" s="12" t="s">
        <v>13</v>
      </c>
      <c r="G169" s="15" t="s">
        <v>14</v>
      </c>
      <c r="H169" s="16">
        <v>45055</v>
      </c>
      <c r="I169" s="16" t="s">
        <v>15</v>
      </c>
      <c r="J169" s="12">
        <v>1</v>
      </c>
      <c r="K169" s="12" t="s">
        <v>259</v>
      </c>
    </row>
    <row r="170" spans="1:11" ht="26" customHeight="1" x14ac:dyDescent="0.35">
      <c r="A170" s="12">
        <v>169</v>
      </c>
      <c r="B170" s="13">
        <v>83042</v>
      </c>
      <c r="C170" s="21">
        <v>217541000673</v>
      </c>
      <c r="D170" s="14" t="s">
        <v>258</v>
      </c>
      <c r="E170" s="12" t="s">
        <v>113</v>
      </c>
      <c r="F170" s="12" t="s">
        <v>13</v>
      </c>
      <c r="G170" s="15" t="s">
        <v>14</v>
      </c>
      <c r="H170" s="16">
        <v>45056</v>
      </c>
      <c r="I170" s="16" t="s">
        <v>17</v>
      </c>
      <c r="J170" s="12">
        <v>1</v>
      </c>
      <c r="K170" s="12" t="s">
        <v>260</v>
      </c>
    </row>
    <row r="171" spans="1:11" ht="26" customHeight="1" x14ac:dyDescent="0.35">
      <c r="A171" s="12">
        <v>170</v>
      </c>
      <c r="B171" s="13">
        <v>32747</v>
      </c>
      <c r="C171" s="21">
        <v>217174000432</v>
      </c>
      <c r="D171" s="14" t="s">
        <v>261</v>
      </c>
      <c r="E171" s="12" t="s">
        <v>262</v>
      </c>
      <c r="F171" s="12" t="s">
        <v>13</v>
      </c>
      <c r="G171" s="15" t="s">
        <v>14</v>
      </c>
      <c r="H171" s="16">
        <v>45094</v>
      </c>
      <c r="I171" s="15" t="s">
        <v>138</v>
      </c>
      <c r="J171" s="12">
        <v>1</v>
      </c>
      <c r="K171" s="12" t="s">
        <v>263</v>
      </c>
    </row>
    <row r="172" spans="1:11" ht="26" customHeight="1" x14ac:dyDescent="0.35">
      <c r="A172" s="12">
        <v>171</v>
      </c>
      <c r="B172" s="13">
        <v>32747</v>
      </c>
      <c r="C172" s="21">
        <v>217174000432</v>
      </c>
      <c r="D172" s="14" t="s">
        <v>261</v>
      </c>
      <c r="E172" s="12" t="s">
        <v>262</v>
      </c>
      <c r="F172" s="12" t="s">
        <v>13</v>
      </c>
      <c r="G172" s="15" t="s">
        <v>14</v>
      </c>
      <c r="H172" s="16">
        <v>45093</v>
      </c>
      <c r="I172" s="15" t="s">
        <v>140</v>
      </c>
      <c r="J172" s="12">
        <v>1</v>
      </c>
      <c r="K172" s="12" t="s">
        <v>264</v>
      </c>
    </row>
    <row r="173" spans="1:11" ht="26" customHeight="1" x14ac:dyDescent="0.35">
      <c r="A173" s="12">
        <v>172</v>
      </c>
      <c r="B173" s="13">
        <v>32747</v>
      </c>
      <c r="C173" s="21">
        <v>217174000432</v>
      </c>
      <c r="D173" s="14" t="s">
        <v>261</v>
      </c>
      <c r="E173" s="12" t="s">
        <v>262</v>
      </c>
      <c r="F173" s="12" t="s">
        <v>13</v>
      </c>
      <c r="G173" s="15" t="s">
        <v>14</v>
      </c>
      <c r="H173" s="16">
        <v>45111</v>
      </c>
      <c r="I173" s="15" t="s">
        <v>142</v>
      </c>
      <c r="J173" s="12">
        <v>1</v>
      </c>
      <c r="K173" s="12" t="s">
        <v>265</v>
      </c>
    </row>
    <row r="174" spans="1:11" ht="26" customHeight="1" x14ac:dyDescent="0.35">
      <c r="A174" s="12">
        <v>173</v>
      </c>
      <c r="B174" s="13">
        <v>32747</v>
      </c>
      <c r="C174" s="21">
        <v>217174000432</v>
      </c>
      <c r="D174" s="14" t="s">
        <v>261</v>
      </c>
      <c r="E174" s="12" t="s">
        <v>262</v>
      </c>
      <c r="F174" s="12" t="s">
        <v>13</v>
      </c>
      <c r="G174" s="15" t="s">
        <v>14</v>
      </c>
      <c r="H174" s="16">
        <v>45124</v>
      </c>
      <c r="I174" s="15" t="s">
        <v>144</v>
      </c>
      <c r="J174" s="12">
        <v>1</v>
      </c>
      <c r="K174" s="12" t="s">
        <v>266</v>
      </c>
    </row>
    <row r="175" spans="1:11" ht="26" customHeight="1" x14ac:dyDescent="0.35">
      <c r="A175" s="12">
        <v>174</v>
      </c>
      <c r="B175" s="13">
        <v>32747</v>
      </c>
      <c r="C175" s="21">
        <v>217174000432</v>
      </c>
      <c r="D175" s="14" t="s">
        <v>261</v>
      </c>
      <c r="E175" s="12" t="s">
        <v>262</v>
      </c>
      <c r="F175" s="12" t="s">
        <v>13</v>
      </c>
      <c r="G175" s="15" t="s">
        <v>14</v>
      </c>
      <c r="H175" s="16">
        <v>45101</v>
      </c>
      <c r="I175" s="15" t="s">
        <v>146</v>
      </c>
      <c r="J175" s="12">
        <v>1</v>
      </c>
      <c r="K175" s="12" t="s">
        <v>58</v>
      </c>
    </row>
    <row r="176" spans="1:11" ht="26" customHeight="1" x14ac:dyDescent="0.35">
      <c r="A176" s="12">
        <v>175</v>
      </c>
      <c r="B176" s="13">
        <v>32747</v>
      </c>
      <c r="C176" s="21">
        <v>217174000432</v>
      </c>
      <c r="D176" s="14" t="s">
        <v>261</v>
      </c>
      <c r="E176" s="12" t="s">
        <v>262</v>
      </c>
      <c r="F176" s="12" t="s">
        <v>13</v>
      </c>
      <c r="G176" s="15" t="s">
        <v>14</v>
      </c>
      <c r="H176" s="16">
        <v>45102</v>
      </c>
      <c r="I176" s="15" t="s">
        <v>147</v>
      </c>
      <c r="J176" s="12">
        <v>1</v>
      </c>
      <c r="K176" s="12" t="s">
        <v>58</v>
      </c>
    </row>
    <row r="177" spans="1:11" ht="26" customHeight="1" x14ac:dyDescent="0.35">
      <c r="A177" s="12">
        <v>176</v>
      </c>
      <c r="B177" s="13">
        <v>32747</v>
      </c>
      <c r="C177" s="21">
        <v>217174000432</v>
      </c>
      <c r="D177" s="14" t="s">
        <v>261</v>
      </c>
      <c r="E177" s="12" t="s">
        <v>262</v>
      </c>
      <c r="F177" s="12" t="s">
        <v>13</v>
      </c>
      <c r="G177" s="15" t="s">
        <v>14</v>
      </c>
      <c r="H177" s="16">
        <v>45113</v>
      </c>
      <c r="I177" s="15" t="s">
        <v>148</v>
      </c>
      <c r="J177" s="12">
        <v>1</v>
      </c>
      <c r="K177" s="12">
        <v>149</v>
      </c>
    </row>
    <row r="178" spans="1:11" ht="26" customHeight="1" x14ac:dyDescent="0.35">
      <c r="A178" s="12">
        <v>177</v>
      </c>
      <c r="B178" s="13">
        <v>32747</v>
      </c>
      <c r="C178" s="21">
        <v>217174000432</v>
      </c>
      <c r="D178" s="14" t="s">
        <v>261</v>
      </c>
      <c r="E178" s="12" t="s">
        <v>262</v>
      </c>
      <c r="F178" s="12" t="s">
        <v>13</v>
      </c>
      <c r="G178" s="15" t="s">
        <v>14</v>
      </c>
      <c r="H178" s="16">
        <v>45092</v>
      </c>
      <c r="I178" s="15" t="s">
        <v>149</v>
      </c>
      <c r="J178" s="12">
        <v>1</v>
      </c>
      <c r="K178" s="18" t="s">
        <v>267</v>
      </c>
    </row>
    <row r="179" spans="1:11" ht="26" customHeight="1" x14ac:dyDescent="0.35">
      <c r="A179" s="12">
        <v>178</v>
      </c>
      <c r="B179" s="13">
        <v>33402</v>
      </c>
      <c r="C179" s="21">
        <v>217662000026</v>
      </c>
      <c r="D179" s="14" t="s">
        <v>268</v>
      </c>
      <c r="E179" s="12" t="s">
        <v>94</v>
      </c>
      <c r="F179" s="12" t="s">
        <v>13</v>
      </c>
      <c r="G179" s="15" t="s">
        <v>14</v>
      </c>
      <c r="H179" s="16">
        <v>45106</v>
      </c>
      <c r="I179" s="15" t="s">
        <v>78</v>
      </c>
      <c r="J179" s="12">
        <v>1</v>
      </c>
      <c r="K179" s="18" t="s">
        <v>269</v>
      </c>
    </row>
    <row r="180" spans="1:11" ht="26" customHeight="1" x14ac:dyDescent="0.35">
      <c r="A180" s="12">
        <v>179</v>
      </c>
      <c r="B180" s="13">
        <v>33402</v>
      </c>
      <c r="C180" s="21">
        <v>217662000026</v>
      </c>
      <c r="D180" s="14" t="s">
        <v>268</v>
      </c>
      <c r="E180" s="12" t="s">
        <v>94</v>
      </c>
      <c r="F180" s="12" t="s">
        <v>13</v>
      </c>
      <c r="G180" s="15" t="s">
        <v>14</v>
      </c>
      <c r="H180" s="16">
        <v>45106</v>
      </c>
      <c r="I180" s="15" t="s">
        <v>78</v>
      </c>
      <c r="J180" s="12">
        <v>1</v>
      </c>
      <c r="K180" s="18" t="s">
        <v>270</v>
      </c>
    </row>
    <row r="181" spans="1:11" ht="26" customHeight="1" x14ac:dyDescent="0.35">
      <c r="A181" s="12">
        <v>180</v>
      </c>
      <c r="B181" s="13">
        <v>33402</v>
      </c>
      <c r="C181" s="21">
        <v>217662000026</v>
      </c>
      <c r="D181" s="14" t="s">
        <v>268</v>
      </c>
      <c r="E181" s="12" t="s">
        <v>94</v>
      </c>
      <c r="F181" s="12" t="s">
        <v>13</v>
      </c>
      <c r="G181" s="15" t="s">
        <v>14</v>
      </c>
      <c r="H181" s="16">
        <v>45120</v>
      </c>
      <c r="I181" s="15" t="s">
        <v>271</v>
      </c>
      <c r="J181" s="12">
        <v>1</v>
      </c>
      <c r="K181" s="18">
        <v>662</v>
      </c>
    </row>
    <row r="182" spans="1:11" ht="26" customHeight="1" x14ac:dyDescent="0.35">
      <c r="A182" s="12">
        <v>181</v>
      </c>
      <c r="B182" s="13">
        <v>33402</v>
      </c>
      <c r="C182" s="21">
        <v>217662000026</v>
      </c>
      <c r="D182" s="14" t="s">
        <v>268</v>
      </c>
      <c r="E182" s="12" t="s">
        <v>94</v>
      </c>
      <c r="F182" s="12" t="s">
        <v>13</v>
      </c>
      <c r="G182" s="15" t="s">
        <v>14</v>
      </c>
      <c r="H182" s="16">
        <v>45107</v>
      </c>
      <c r="I182" s="15" t="s">
        <v>76</v>
      </c>
      <c r="J182" s="12">
        <v>1</v>
      </c>
      <c r="K182" s="18" t="s">
        <v>272</v>
      </c>
    </row>
    <row r="183" spans="1:11" ht="26" customHeight="1" x14ac:dyDescent="0.35">
      <c r="A183" s="12">
        <v>182</v>
      </c>
      <c r="B183" s="13">
        <v>33402</v>
      </c>
      <c r="C183" s="21">
        <v>217662000026</v>
      </c>
      <c r="D183" s="14" t="s">
        <v>268</v>
      </c>
      <c r="E183" s="12" t="s">
        <v>94</v>
      </c>
      <c r="F183" s="12" t="s">
        <v>13</v>
      </c>
      <c r="G183" s="15" t="s">
        <v>14</v>
      </c>
      <c r="H183" s="16">
        <v>45099</v>
      </c>
      <c r="I183" s="15" t="s">
        <v>72</v>
      </c>
      <c r="J183" s="12">
        <v>1</v>
      </c>
      <c r="K183" s="18" t="s">
        <v>273</v>
      </c>
    </row>
    <row r="184" spans="1:11" ht="26" customHeight="1" x14ac:dyDescent="0.35">
      <c r="A184" s="12">
        <v>183</v>
      </c>
      <c r="B184" s="13">
        <v>33402</v>
      </c>
      <c r="C184" s="21">
        <v>217662000026</v>
      </c>
      <c r="D184" s="14" t="s">
        <v>268</v>
      </c>
      <c r="E184" s="12" t="s">
        <v>94</v>
      </c>
      <c r="F184" s="12" t="s">
        <v>13</v>
      </c>
      <c r="G184" s="15" t="s">
        <v>14</v>
      </c>
      <c r="H184" s="16">
        <v>45103</v>
      </c>
      <c r="I184" s="15" t="s">
        <v>74</v>
      </c>
      <c r="J184" s="12">
        <v>1</v>
      </c>
      <c r="K184" s="18" t="s">
        <v>274</v>
      </c>
    </row>
    <row r="185" spans="1:11" ht="26" customHeight="1" x14ac:dyDescent="0.35">
      <c r="A185" s="12">
        <v>184</v>
      </c>
      <c r="B185" s="13">
        <v>33402</v>
      </c>
      <c r="C185" s="21">
        <v>217662000026</v>
      </c>
      <c r="D185" s="14" t="s">
        <v>268</v>
      </c>
      <c r="E185" s="12" t="s">
        <v>94</v>
      </c>
      <c r="F185" s="12" t="s">
        <v>13</v>
      </c>
      <c r="G185" s="15" t="s">
        <v>14</v>
      </c>
      <c r="H185" s="16">
        <v>45105</v>
      </c>
      <c r="I185" s="15" t="s">
        <v>81</v>
      </c>
      <c r="J185" s="12">
        <v>2</v>
      </c>
      <c r="K185" s="18" t="s">
        <v>275</v>
      </c>
    </row>
    <row r="186" spans="1:11" ht="26" customHeight="1" x14ac:dyDescent="0.35">
      <c r="A186" s="12">
        <v>185</v>
      </c>
      <c r="B186" s="13">
        <v>33402</v>
      </c>
      <c r="C186" s="21">
        <v>217662000026</v>
      </c>
      <c r="D186" s="14" t="s">
        <v>268</v>
      </c>
      <c r="E186" s="12" t="s">
        <v>94</v>
      </c>
      <c r="F186" s="12" t="s">
        <v>13</v>
      </c>
      <c r="G186" s="15" t="s">
        <v>14</v>
      </c>
      <c r="H186" s="16">
        <v>45111</v>
      </c>
      <c r="I186" s="15" t="s">
        <v>142</v>
      </c>
      <c r="J186" s="12">
        <v>1</v>
      </c>
      <c r="K186" s="18" t="s">
        <v>276</v>
      </c>
    </row>
    <row r="187" spans="1:11" ht="26" customHeight="1" x14ac:dyDescent="0.35">
      <c r="A187" s="12">
        <v>186</v>
      </c>
      <c r="B187" s="13">
        <v>33402</v>
      </c>
      <c r="C187" s="21">
        <v>217662000026</v>
      </c>
      <c r="D187" s="14" t="s">
        <v>268</v>
      </c>
      <c r="E187" s="12" t="s">
        <v>94</v>
      </c>
      <c r="F187" s="12" t="s">
        <v>13</v>
      </c>
      <c r="G187" s="15" t="s">
        <v>14</v>
      </c>
      <c r="H187" s="16">
        <v>45126</v>
      </c>
      <c r="I187" s="15" t="s">
        <v>277</v>
      </c>
      <c r="J187" s="12">
        <v>1</v>
      </c>
      <c r="K187" s="18">
        <v>2603035558</v>
      </c>
    </row>
    <row r="188" spans="1:11" ht="26" customHeight="1" x14ac:dyDescent="0.35">
      <c r="A188" s="12">
        <v>187</v>
      </c>
      <c r="B188" s="13">
        <v>33402</v>
      </c>
      <c r="C188" s="21">
        <v>217662000026</v>
      </c>
      <c r="D188" s="14" t="s">
        <v>268</v>
      </c>
      <c r="E188" s="12" t="s">
        <v>94</v>
      </c>
      <c r="F188" s="12" t="s">
        <v>13</v>
      </c>
      <c r="G188" s="15" t="s">
        <v>14</v>
      </c>
      <c r="H188" s="16">
        <v>45112</v>
      </c>
      <c r="I188" s="15" t="s">
        <v>278</v>
      </c>
      <c r="J188" s="12">
        <v>1</v>
      </c>
      <c r="K188" s="18" t="s">
        <v>279</v>
      </c>
    </row>
    <row r="189" spans="1:11" ht="26" customHeight="1" x14ac:dyDescent="0.35">
      <c r="A189" s="12">
        <v>188</v>
      </c>
      <c r="B189" s="13">
        <v>33402</v>
      </c>
      <c r="C189" s="21">
        <v>217662000026</v>
      </c>
      <c r="D189" s="14" t="s">
        <v>268</v>
      </c>
      <c r="E189" s="12" t="s">
        <v>94</v>
      </c>
      <c r="F189" s="12" t="s">
        <v>13</v>
      </c>
      <c r="G189" s="15" t="s">
        <v>14</v>
      </c>
      <c r="H189" s="16">
        <v>45119</v>
      </c>
      <c r="I189" s="15" t="s">
        <v>280</v>
      </c>
      <c r="J189" s="12">
        <v>1</v>
      </c>
      <c r="K189" s="18">
        <v>606</v>
      </c>
    </row>
    <row r="190" spans="1:11" ht="26" customHeight="1" x14ac:dyDescent="0.35">
      <c r="A190" s="12">
        <v>189</v>
      </c>
      <c r="B190" s="13">
        <v>33402</v>
      </c>
      <c r="C190" s="21">
        <v>217662000026</v>
      </c>
      <c r="D190" s="14" t="s">
        <v>268</v>
      </c>
      <c r="E190" s="12" t="s">
        <v>94</v>
      </c>
      <c r="F190" s="12" t="s">
        <v>13</v>
      </c>
      <c r="G190" s="15" t="s">
        <v>14</v>
      </c>
      <c r="H190" s="16">
        <v>45104</v>
      </c>
      <c r="I190" s="15" t="s">
        <v>281</v>
      </c>
      <c r="J190" s="12">
        <v>1</v>
      </c>
      <c r="K190" s="18" t="s">
        <v>282</v>
      </c>
    </row>
    <row r="191" spans="1:11" ht="26" customHeight="1" x14ac:dyDescent="0.35">
      <c r="A191" s="12">
        <v>190</v>
      </c>
      <c r="B191" s="13">
        <v>33402</v>
      </c>
      <c r="C191" s="21">
        <v>217662000026</v>
      </c>
      <c r="D191" s="14" t="s">
        <v>268</v>
      </c>
      <c r="E191" s="12" t="s">
        <v>94</v>
      </c>
      <c r="F191" s="12" t="s">
        <v>13</v>
      </c>
      <c r="G191" s="15" t="s">
        <v>14</v>
      </c>
      <c r="H191" s="16">
        <v>45110</v>
      </c>
      <c r="I191" s="15" t="s">
        <v>283</v>
      </c>
      <c r="J191" s="12">
        <v>1</v>
      </c>
      <c r="K191" s="18" t="s">
        <v>284</v>
      </c>
    </row>
    <row r="192" spans="1:11" ht="26" customHeight="1" x14ac:dyDescent="0.35">
      <c r="A192" s="12">
        <v>191</v>
      </c>
      <c r="B192" s="13">
        <v>33402</v>
      </c>
      <c r="C192" s="21">
        <v>217662000026</v>
      </c>
      <c r="D192" s="14" t="s">
        <v>268</v>
      </c>
      <c r="E192" s="12" t="s">
        <v>94</v>
      </c>
      <c r="F192" s="12" t="s">
        <v>13</v>
      </c>
      <c r="G192" s="15" t="s">
        <v>14</v>
      </c>
      <c r="H192" s="16">
        <v>45109</v>
      </c>
      <c r="I192" s="15" t="s">
        <v>285</v>
      </c>
      <c r="J192" s="12">
        <v>1</v>
      </c>
      <c r="K192" s="18" t="s">
        <v>286</v>
      </c>
    </row>
    <row r="193" spans="1:11" ht="26" customHeight="1" x14ac:dyDescent="0.35">
      <c r="A193" s="12">
        <v>192</v>
      </c>
      <c r="B193" s="13">
        <v>33402</v>
      </c>
      <c r="C193" s="21">
        <v>217662000026</v>
      </c>
      <c r="D193" s="14" t="s">
        <v>268</v>
      </c>
      <c r="E193" s="12" t="s">
        <v>94</v>
      </c>
      <c r="F193" s="12" t="s">
        <v>13</v>
      </c>
      <c r="G193" s="15" t="s">
        <v>14</v>
      </c>
      <c r="H193" s="16">
        <v>45115</v>
      </c>
      <c r="I193" s="15" t="s">
        <v>287</v>
      </c>
      <c r="J193" s="12">
        <v>1</v>
      </c>
      <c r="K193" s="18">
        <v>209</v>
      </c>
    </row>
    <row r="194" spans="1:11" ht="26" customHeight="1" x14ac:dyDescent="0.35">
      <c r="A194" s="12">
        <v>193</v>
      </c>
      <c r="B194" s="13">
        <v>33402</v>
      </c>
      <c r="C194" s="21">
        <v>217662000026</v>
      </c>
      <c r="D194" s="14" t="s">
        <v>268</v>
      </c>
      <c r="E194" s="12" t="s">
        <v>94</v>
      </c>
      <c r="F194" s="12" t="s">
        <v>13</v>
      </c>
      <c r="G194" s="15" t="s">
        <v>14</v>
      </c>
      <c r="H194" s="16">
        <v>45026</v>
      </c>
      <c r="I194" s="15" t="s">
        <v>288</v>
      </c>
      <c r="J194" s="12">
        <v>1</v>
      </c>
      <c r="K194" s="18" t="s">
        <v>58</v>
      </c>
    </row>
    <row r="195" spans="1:11" ht="26" customHeight="1" x14ac:dyDescent="0.35">
      <c r="A195" s="12">
        <v>194</v>
      </c>
      <c r="B195" s="13">
        <v>32741</v>
      </c>
      <c r="C195" s="21">
        <v>117088000255</v>
      </c>
      <c r="D195" s="14" t="s">
        <v>48</v>
      </c>
      <c r="E195" s="12" t="s">
        <v>49</v>
      </c>
      <c r="F195" s="12" t="s">
        <v>13</v>
      </c>
      <c r="G195" s="15" t="s">
        <v>14</v>
      </c>
      <c r="H195" s="16">
        <v>45106</v>
      </c>
      <c r="I195" s="15" t="s">
        <v>78</v>
      </c>
      <c r="J195" s="12">
        <v>1</v>
      </c>
      <c r="K195" s="18" t="s">
        <v>289</v>
      </c>
    </row>
    <row r="196" spans="1:11" ht="26" customHeight="1" x14ac:dyDescent="0.35">
      <c r="A196" s="12">
        <v>195</v>
      </c>
      <c r="B196" s="13">
        <v>32741</v>
      </c>
      <c r="C196" s="21">
        <v>117088000255</v>
      </c>
      <c r="D196" s="14" t="s">
        <v>48</v>
      </c>
      <c r="E196" s="12" t="s">
        <v>49</v>
      </c>
      <c r="F196" s="12" t="s">
        <v>13</v>
      </c>
      <c r="G196" s="15" t="s">
        <v>14</v>
      </c>
      <c r="H196" s="16">
        <v>45106</v>
      </c>
      <c r="I196" s="15" t="s">
        <v>78</v>
      </c>
      <c r="J196" s="12">
        <v>1</v>
      </c>
      <c r="K196" s="18" t="s">
        <v>290</v>
      </c>
    </row>
    <row r="197" spans="1:11" ht="26" customHeight="1" x14ac:dyDescent="0.35">
      <c r="A197" s="12">
        <v>196</v>
      </c>
      <c r="B197" s="13">
        <v>32741</v>
      </c>
      <c r="C197" s="21">
        <v>117088000255</v>
      </c>
      <c r="D197" s="14" t="s">
        <v>48</v>
      </c>
      <c r="E197" s="12" t="s">
        <v>49</v>
      </c>
      <c r="F197" s="12" t="s">
        <v>13</v>
      </c>
      <c r="G197" s="15" t="s">
        <v>14</v>
      </c>
      <c r="H197" s="16">
        <v>45120</v>
      </c>
      <c r="I197" s="15" t="s">
        <v>271</v>
      </c>
      <c r="J197" s="12">
        <v>1</v>
      </c>
      <c r="K197" s="18">
        <v>664</v>
      </c>
    </row>
    <row r="198" spans="1:11" ht="26" customHeight="1" x14ac:dyDescent="0.35">
      <c r="A198" s="12">
        <v>197</v>
      </c>
      <c r="B198" s="13">
        <v>32741</v>
      </c>
      <c r="C198" s="21">
        <v>117088000255</v>
      </c>
      <c r="D198" s="14" t="s">
        <v>48</v>
      </c>
      <c r="E198" s="12" t="s">
        <v>49</v>
      </c>
      <c r="F198" s="12" t="s">
        <v>13</v>
      </c>
      <c r="G198" s="15" t="s">
        <v>14</v>
      </c>
      <c r="H198" s="16">
        <v>45107</v>
      </c>
      <c r="I198" s="15" t="s">
        <v>76</v>
      </c>
      <c r="J198" s="12">
        <v>1</v>
      </c>
      <c r="K198" s="18" t="s">
        <v>291</v>
      </c>
    </row>
    <row r="199" spans="1:11" ht="26" customHeight="1" x14ac:dyDescent="0.35">
      <c r="A199" s="12">
        <v>198</v>
      </c>
      <c r="B199" s="13">
        <v>32741</v>
      </c>
      <c r="C199" s="21">
        <v>117088000255</v>
      </c>
      <c r="D199" s="14" t="s">
        <v>48</v>
      </c>
      <c r="E199" s="12" t="s">
        <v>49</v>
      </c>
      <c r="F199" s="12" t="s">
        <v>13</v>
      </c>
      <c r="G199" s="15" t="s">
        <v>14</v>
      </c>
      <c r="H199" s="16">
        <v>45099</v>
      </c>
      <c r="I199" s="15" t="s">
        <v>72</v>
      </c>
      <c r="J199" s="12">
        <v>1</v>
      </c>
      <c r="K199" s="18" t="s">
        <v>292</v>
      </c>
    </row>
    <row r="200" spans="1:11" ht="26" customHeight="1" x14ac:dyDescent="0.35">
      <c r="A200" s="12">
        <v>199</v>
      </c>
      <c r="B200" s="13">
        <v>32741</v>
      </c>
      <c r="C200" s="21">
        <v>117088000255</v>
      </c>
      <c r="D200" s="14" t="s">
        <v>48</v>
      </c>
      <c r="E200" s="12" t="s">
        <v>49</v>
      </c>
      <c r="F200" s="12" t="s">
        <v>13</v>
      </c>
      <c r="G200" s="15" t="s">
        <v>14</v>
      </c>
      <c r="H200" s="16">
        <v>45103</v>
      </c>
      <c r="I200" s="15" t="s">
        <v>74</v>
      </c>
      <c r="J200" s="12">
        <v>1</v>
      </c>
      <c r="K200" s="18" t="s">
        <v>293</v>
      </c>
    </row>
    <row r="201" spans="1:11" ht="26" customHeight="1" x14ac:dyDescent="0.35">
      <c r="A201" s="12">
        <v>200</v>
      </c>
      <c r="B201" s="13">
        <v>32741</v>
      </c>
      <c r="C201" s="21">
        <v>117088000255</v>
      </c>
      <c r="D201" s="14" t="s">
        <v>48</v>
      </c>
      <c r="E201" s="12" t="s">
        <v>49</v>
      </c>
      <c r="F201" s="12" t="s">
        <v>13</v>
      </c>
      <c r="G201" s="15" t="s">
        <v>14</v>
      </c>
      <c r="H201" s="16">
        <v>45105</v>
      </c>
      <c r="I201" s="15" t="s">
        <v>81</v>
      </c>
      <c r="J201" s="12">
        <v>2</v>
      </c>
      <c r="K201" s="18" t="s">
        <v>294</v>
      </c>
    </row>
    <row r="202" spans="1:11" ht="26" customHeight="1" x14ac:dyDescent="0.35">
      <c r="A202" s="12">
        <v>201</v>
      </c>
      <c r="B202" s="13">
        <v>32741</v>
      </c>
      <c r="C202" s="21">
        <v>117088000255</v>
      </c>
      <c r="D202" s="14" t="s">
        <v>48</v>
      </c>
      <c r="E202" s="12" t="s">
        <v>49</v>
      </c>
      <c r="F202" s="12" t="s">
        <v>13</v>
      </c>
      <c r="G202" s="15" t="s">
        <v>14</v>
      </c>
      <c r="H202" s="16">
        <v>45111</v>
      </c>
      <c r="I202" s="15" t="s">
        <v>142</v>
      </c>
      <c r="J202" s="12">
        <v>1</v>
      </c>
      <c r="K202" s="18" t="s">
        <v>295</v>
      </c>
    </row>
    <row r="203" spans="1:11" ht="26" customHeight="1" x14ac:dyDescent="0.35">
      <c r="A203" s="12">
        <v>202</v>
      </c>
      <c r="B203" s="13">
        <v>32741</v>
      </c>
      <c r="C203" s="21">
        <v>117088000255</v>
      </c>
      <c r="D203" s="14" t="s">
        <v>48</v>
      </c>
      <c r="E203" s="12" t="s">
        <v>49</v>
      </c>
      <c r="F203" s="12" t="s">
        <v>13</v>
      </c>
      <c r="G203" s="15" t="s">
        <v>14</v>
      </c>
      <c r="H203" s="16">
        <v>45126</v>
      </c>
      <c r="I203" s="15" t="s">
        <v>277</v>
      </c>
      <c r="J203" s="12">
        <v>1</v>
      </c>
      <c r="K203" s="18">
        <v>2603035442</v>
      </c>
    </row>
    <row r="204" spans="1:11" ht="26" customHeight="1" x14ac:dyDescent="0.35">
      <c r="A204" s="12">
        <v>203</v>
      </c>
      <c r="B204" s="13">
        <v>32741</v>
      </c>
      <c r="C204" s="21">
        <v>117088000255</v>
      </c>
      <c r="D204" s="14" t="s">
        <v>48</v>
      </c>
      <c r="E204" s="12" t="s">
        <v>49</v>
      </c>
      <c r="F204" s="12" t="s">
        <v>13</v>
      </c>
      <c r="G204" s="15" t="s">
        <v>14</v>
      </c>
      <c r="H204" s="16">
        <v>45112</v>
      </c>
      <c r="I204" s="15" t="s">
        <v>278</v>
      </c>
      <c r="J204" s="12">
        <v>1</v>
      </c>
      <c r="K204" s="18" t="s">
        <v>296</v>
      </c>
    </row>
    <row r="205" spans="1:11" ht="26" customHeight="1" x14ac:dyDescent="0.35">
      <c r="A205" s="12">
        <v>204</v>
      </c>
      <c r="B205" s="13">
        <v>32741</v>
      </c>
      <c r="C205" s="21">
        <v>117088000255</v>
      </c>
      <c r="D205" s="14" t="s">
        <v>48</v>
      </c>
      <c r="E205" s="12" t="s">
        <v>49</v>
      </c>
      <c r="F205" s="12" t="s">
        <v>13</v>
      </c>
      <c r="G205" s="15" t="s">
        <v>14</v>
      </c>
      <c r="H205" s="16">
        <v>45119</v>
      </c>
      <c r="I205" s="15" t="s">
        <v>280</v>
      </c>
      <c r="J205" s="12">
        <v>1</v>
      </c>
      <c r="K205" s="18">
        <v>614</v>
      </c>
    </row>
    <row r="206" spans="1:11" ht="26" customHeight="1" x14ac:dyDescent="0.35">
      <c r="A206" s="12">
        <v>205</v>
      </c>
      <c r="B206" s="13">
        <v>32741</v>
      </c>
      <c r="C206" s="21">
        <v>117088000255</v>
      </c>
      <c r="D206" s="14" t="s">
        <v>48</v>
      </c>
      <c r="E206" s="12" t="s">
        <v>49</v>
      </c>
      <c r="F206" s="12" t="s">
        <v>13</v>
      </c>
      <c r="G206" s="15" t="s">
        <v>14</v>
      </c>
      <c r="H206" s="16">
        <v>45104</v>
      </c>
      <c r="I206" s="15" t="s">
        <v>281</v>
      </c>
      <c r="J206" s="12">
        <v>1</v>
      </c>
      <c r="K206" s="18" t="s">
        <v>297</v>
      </c>
    </row>
    <row r="207" spans="1:11" ht="26" customHeight="1" x14ac:dyDescent="0.35">
      <c r="A207" s="12">
        <v>206</v>
      </c>
      <c r="B207" s="13">
        <v>32741</v>
      </c>
      <c r="C207" s="21">
        <v>117088000255</v>
      </c>
      <c r="D207" s="14" t="s">
        <v>48</v>
      </c>
      <c r="E207" s="12" t="s">
        <v>49</v>
      </c>
      <c r="F207" s="12" t="s">
        <v>13</v>
      </c>
      <c r="G207" s="15" t="s">
        <v>14</v>
      </c>
      <c r="H207" s="16">
        <v>45110</v>
      </c>
      <c r="I207" s="15" t="s">
        <v>283</v>
      </c>
      <c r="J207" s="12">
        <v>1</v>
      </c>
      <c r="K207" s="18" t="s">
        <v>298</v>
      </c>
    </row>
    <row r="208" spans="1:11" ht="26" customHeight="1" x14ac:dyDescent="0.35">
      <c r="A208" s="12">
        <v>207</v>
      </c>
      <c r="B208" s="13">
        <v>32741</v>
      </c>
      <c r="C208" s="21">
        <v>117088000255</v>
      </c>
      <c r="D208" s="14" t="s">
        <v>48</v>
      </c>
      <c r="E208" s="12" t="s">
        <v>49</v>
      </c>
      <c r="F208" s="12" t="s">
        <v>13</v>
      </c>
      <c r="G208" s="15" t="s">
        <v>14</v>
      </c>
      <c r="H208" s="16">
        <v>45109</v>
      </c>
      <c r="I208" s="15" t="s">
        <v>285</v>
      </c>
      <c r="J208" s="12">
        <v>1</v>
      </c>
      <c r="K208" s="18" t="s">
        <v>299</v>
      </c>
    </row>
    <row r="209" spans="1:11" ht="26" customHeight="1" x14ac:dyDescent="0.35">
      <c r="A209" s="12">
        <v>208</v>
      </c>
      <c r="B209" s="13">
        <v>32741</v>
      </c>
      <c r="C209" s="21">
        <v>117088000255</v>
      </c>
      <c r="D209" s="14" t="s">
        <v>48</v>
      </c>
      <c r="E209" s="12" t="s">
        <v>49</v>
      </c>
      <c r="F209" s="12" t="s">
        <v>13</v>
      </c>
      <c r="G209" s="15" t="s">
        <v>14</v>
      </c>
      <c r="H209" s="16">
        <v>45115</v>
      </c>
      <c r="I209" s="15" t="s">
        <v>287</v>
      </c>
      <c r="J209" s="12">
        <v>1</v>
      </c>
      <c r="K209" s="18">
        <v>202</v>
      </c>
    </row>
    <row r="210" spans="1:11" ht="26" customHeight="1" x14ac:dyDescent="0.35">
      <c r="A210" s="12">
        <v>209</v>
      </c>
      <c r="B210" s="13">
        <v>32741</v>
      </c>
      <c r="C210" s="21">
        <v>117088000255</v>
      </c>
      <c r="D210" s="14" t="s">
        <v>48</v>
      </c>
      <c r="E210" s="12" t="s">
        <v>49</v>
      </c>
      <c r="F210" s="12" t="s">
        <v>13</v>
      </c>
      <c r="G210" s="15" t="s">
        <v>14</v>
      </c>
      <c r="H210" s="16">
        <v>45026</v>
      </c>
      <c r="I210" s="15" t="s">
        <v>288</v>
      </c>
      <c r="J210" s="12">
        <v>1</v>
      </c>
      <c r="K210" s="18" t="s">
        <v>58</v>
      </c>
    </row>
    <row r="211" spans="1:11" ht="26" customHeight="1" x14ac:dyDescent="0.35">
      <c r="A211" s="12">
        <v>210</v>
      </c>
      <c r="B211" s="13">
        <v>33093</v>
      </c>
      <c r="C211" s="21">
        <v>217662002258</v>
      </c>
      <c r="D211" s="14" t="s">
        <v>126</v>
      </c>
      <c r="E211" s="12" t="s">
        <v>127</v>
      </c>
      <c r="F211" s="12" t="s">
        <v>13</v>
      </c>
      <c r="G211" s="15" t="s">
        <v>14</v>
      </c>
      <c r="H211" s="16">
        <v>45106</v>
      </c>
      <c r="I211" s="15" t="s">
        <v>78</v>
      </c>
      <c r="J211" s="12">
        <v>1</v>
      </c>
      <c r="K211" s="18" t="s">
        <v>300</v>
      </c>
    </row>
    <row r="212" spans="1:11" ht="26" customHeight="1" x14ac:dyDescent="0.35">
      <c r="A212" s="12">
        <v>211</v>
      </c>
      <c r="B212" s="13">
        <v>33093</v>
      </c>
      <c r="C212" s="21">
        <v>217662002258</v>
      </c>
      <c r="D212" s="14" t="s">
        <v>126</v>
      </c>
      <c r="E212" s="12" t="s">
        <v>127</v>
      </c>
      <c r="F212" s="12" t="s">
        <v>13</v>
      </c>
      <c r="G212" s="15" t="s">
        <v>14</v>
      </c>
      <c r="H212" s="16">
        <v>45106</v>
      </c>
      <c r="I212" s="15" t="s">
        <v>78</v>
      </c>
      <c r="J212" s="12">
        <v>1</v>
      </c>
      <c r="K212" s="18" t="s">
        <v>301</v>
      </c>
    </row>
    <row r="213" spans="1:11" ht="26" customHeight="1" x14ac:dyDescent="0.35">
      <c r="A213" s="12">
        <v>212</v>
      </c>
      <c r="B213" s="13">
        <v>33093</v>
      </c>
      <c r="C213" s="21">
        <v>217662002258</v>
      </c>
      <c r="D213" s="14" t="s">
        <v>126</v>
      </c>
      <c r="E213" s="12" t="s">
        <v>127</v>
      </c>
      <c r="F213" s="12" t="s">
        <v>13</v>
      </c>
      <c r="G213" s="15" t="s">
        <v>14</v>
      </c>
      <c r="H213" s="16">
        <v>45120</v>
      </c>
      <c r="I213" s="15" t="s">
        <v>271</v>
      </c>
      <c r="J213" s="12">
        <v>1</v>
      </c>
      <c r="K213" s="18">
        <v>661</v>
      </c>
    </row>
    <row r="214" spans="1:11" ht="26" customHeight="1" x14ac:dyDescent="0.35">
      <c r="A214" s="12">
        <v>213</v>
      </c>
      <c r="B214" s="13">
        <v>33093</v>
      </c>
      <c r="C214" s="21">
        <v>217662002258</v>
      </c>
      <c r="D214" s="14" t="s">
        <v>126</v>
      </c>
      <c r="E214" s="12" t="s">
        <v>127</v>
      </c>
      <c r="F214" s="12" t="s">
        <v>13</v>
      </c>
      <c r="G214" s="15" t="s">
        <v>14</v>
      </c>
      <c r="H214" s="16">
        <v>45107</v>
      </c>
      <c r="I214" s="15" t="s">
        <v>76</v>
      </c>
      <c r="J214" s="12">
        <v>1</v>
      </c>
      <c r="K214" s="18" t="s">
        <v>302</v>
      </c>
    </row>
    <row r="215" spans="1:11" ht="26" customHeight="1" x14ac:dyDescent="0.35">
      <c r="A215" s="12">
        <v>214</v>
      </c>
      <c r="B215" s="13">
        <v>33093</v>
      </c>
      <c r="C215" s="21">
        <v>217662002258</v>
      </c>
      <c r="D215" s="14" t="s">
        <v>126</v>
      </c>
      <c r="E215" s="12" t="s">
        <v>127</v>
      </c>
      <c r="F215" s="12" t="s">
        <v>13</v>
      </c>
      <c r="G215" s="15" t="s">
        <v>14</v>
      </c>
      <c r="H215" s="16">
        <v>45099</v>
      </c>
      <c r="I215" s="15" t="s">
        <v>72</v>
      </c>
      <c r="J215" s="12">
        <v>1</v>
      </c>
      <c r="K215" s="18" t="s">
        <v>303</v>
      </c>
    </row>
    <row r="216" spans="1:11" ht="26" customHeight="1" x14ac:dyDescent="0.35">
      <c r="A216" s="12">
        <v>215</v>
      </c>
      <c r="B216" s="13">
        <v>33093</v>
      </c>
      <c r="C216" s="21">
        <v>217662002258</v>
      </c>
      <c r="D216" s="14" t="s">
        <v>126</v>
      </c>
      <c r="E216" s="12" t="s">
        <v>127</v>
      </c>
      <c r="F216" s="12" t="s">
        <v>13</v>
      </c>
      <c r="G216" s="15" t="s">
        <v>14</v>
      </c>
      <c r="H216" s="16">
        <v>45103</v>
      </c>
      <c r="I216" s="15" t="s">
        <v>74</v>
      </c>
      <c r="J216" s="12">
        <v>1</v>
      </c>
      <c r="K216" s="18" t="s">
        <v>304</v>
      </c>
    </row>
    <row r="217" spans="1:11" ht="26" customHeight="1" x14ac:dyDescent="0.35">
      <c r="A217" s="12">
        <v>216</v>
      </c>
      <c r="B217" s="13">
        <v>33093</v>
      </c>
      <c r="C217" s="21">
        <v>217662002258</v>
      </c>
      <c r="D217" s="14" t="s">
        <v>126</v>
      </c>
      <c r="E217" s="12" t="s">
        <v>127</v>
      </c>
      <c r="F217" s="12" t="s">
        <v>13</v>
      </c>
      <c r="G217" s="15" t="s">
        <v>14</v>
      </c>
      <c r="H217" s="16">
        <v>45105</v>
      </c>
      <c r="I217" s="15" t="s">
        <v>81</v>
      </c>
      <c r="J217" s="12">
        <v>2</v>
      </c>
      <c r="K217" s="18" t="s">
        <v>305</v>
      </c>
    </row>
    <row r="218" spans="1:11" ht="26" customHeight="1" x14ac:dyDescent="0.35">
      <c r="A218" s="12">
        <v>217</v>
      </c>
      <c r="B218" s="13">
        <v>33093</v>
      </c>
      <c r="C218" s="21">
        <v>217662002258</v>
      </c>
      <c r="D218" s="14" t="s">
        <v>126</v>
      </c>
      <c r="E218" s="12" t="s">
        <v>127</v>
      </c>
      <c r="F218" s="12" t="s">
        <v>13</v>
      </c>
      <c r="G218" s="15" t="s">
        <v>14</v>
      </c>
      <c r="H218" s="16">
        <v>45111</v>
      </c>
      <c r="I218" s="15" t="s">
        <v>142</v>
      </c>
      <c r="J218" s="12">
        <v>1</v>
      </c>
      <c r="K218" s="18" t="s">
        <v>306</v>
      </c>
    </row>
    <row r="219" spans="1:11" ht="26" customHeight="1" x14ac:dyDescent="0.35">
      <c r="A219" s="12">
        <v>218</v>
      </c>
      <c r="B219" s="13">
        <v>33093</v>
      </c>
      <c r="C219" s="21">
        <v>217662002258</v>
      </c>
      <c r="D219" s="14" t="s">
        <v>126</v>
      </c>
      <c r="E219" s="12" t="s">
        <v>127</v>
      </c>
      <c r="F219" s="12" t="s">
        <v>13</v>
      </c>
      <c r="G219" s="15" t="s">
        <v>14</v>
      </c>
      <c r="H219" s="16">
        <v>45126</v>
      </c>
      <c r="I219" s="15" t="s">
        <v>277</v>
      </c>
      <c r="J219" s="12">
        <v>1</v>
      </c>
      <c r="K219" s="18">
        <v>2603035676</v>
      </c>
    </row>
    <row r="220" spans="1:11" ht="26" customHeight="1" x14ac:dyDescent="0.35">
      <c r="A220" s="12">
        <v>219</v>
      </c>
      <c r="B220" s="13">
        <v>33093</v>
      </c>
      <c r="C220" s="21">
        <v>217662002258</v>
      </c>
      <c r="D220" s="14" t="s">
        <v>126</v>
      </c>
      <c r="E220" s="12" t="s">
        <v>127</v>
      </c>
      <c r="F220" s="12" t="s">
        <v>13</v>
      </c>
      <c r="G220" s="15" t="s">
        <v>14</v>
      </c>
      <c r="H220" s="16">
        <v>45112</v>
      </c>
      <c r="I220" s="15" t="s">
        <v>278</v>
      </c>
      <c r="J220" s="12">
        <v>1</v>
      </c>
      <c r="K220" s="18" t="s">
        <v>307</v>
      </c>
    </row>
    <row r="221" spans="1:11" ht="26" customHeight="1" x14ac:dyDescent="0.35">
      <c r="A221" s="12">
        <v>220</v>
      </c>
      <c r="B221" s="13">
        <v>33093</v>
      </c>
      <c r="C221" s="21">
        <v>217662002258</v>
      </c>
      <c r="D221" s="14" t="s">
        <v>126</v>
      </c>
      <c r="E221" s="12" t="s">
        <v>127</v>
      </c>
      <c r="F221" s="12" t="s">
        <v>13</v>
      </c>
      <c r="G221" s="15" t="s">
        <v>14</v>
      </c>
      <c r="H221" s="16">
        <v>45119</v>
      </c>
      <c r="I221" s="15" t="s">
        <v>280</v>
      </c>
      <c r="J221" s="12">
        <v>1</v>
      </c>
      <c r="K221" s="18">
        <v>610</v>
      </c>
    </row>
    <row r="222" spans="1:11" ht="26" customHeight="1" x14ac:dyDescent="0.35">
      <c r="A222" s="12">
        <v>221</v>
      </c>
      <c r="B222" s="13">
        <v>33093</v>
      </c>
      <c r="C222" s="21">
        <v>217662002258</v>
      </c>
      <c r="D222" s="14" t="s">
        <v>126</v>
      </c>
      <c r="E222" s="12" t="s">
        <v>127</v>
      </c>
      <c r="F222" s="12" t="s">
        <v>13</v>
      </c>
      <c r="G222" s="15" t="s">
        <v>14</v>
      </c>
      <c r="H222" s="16">
        <v>45104</v>
      </c>
      <c r="I222" s="15" t="s">
        <v>281</v>
      </c>
      <c r="J222" s="12">
        <v>1</v>
      </c>
      <c r="K222" s="18" t="s">
        <v>308</v>
      </c>
    </row>
    <row r="223" spans="1:11" ht="26" customHeight="1" x14ac:dyDescent="0.35">
      <c r="A223" s="12">
        <v>222</v>
      </c>
      <c r="B223" s="13">
        <v>33093</v>
      </c>
      <c r="C223" s="21">
        <v>217662002258</v>
      </c>
      <c r="D223" s="14" t="s">
        <v>126</v>
      </c>
      <c r="E223" s="12" t="s">
        <v>127</v>
      </c>
      <c r="F223" s="12" t="s">
        <v>13</v>
      </c>
      <c r="G223" s="15" t="s">
        <v>14</v>
      </c>
      <c r="H223" s="16">
        <v>45110</v>
      </c>
      <c r="I223" s="15" t="s">
        <v>283</v>
      </c>
      <c r="J223" s="12">
        <v>1</v>
      </c>
      <c r="K223" s="18" t="s">
        <v>309</v>
      </c>
    </row>
    <row r="224" spans="1:11" ht="26" customHeight="1" x14ac:dyDescent="0.35">
      <c r="A224" s="12">
        <v>223</v>
      </c>
      <c r="B224" s="13">
        <v>33093</v>
      </c>
      <c r="C224" s="21">
        <v>217662002258</v>
      </c>
      <c r="D224" s="14" t="s">
        <v>126</v>
      </c>
      <c r="E224" s="12" t="s">
        <v>127</v>
      </c>
      <c r="F224" s="12" t="s">
        <v>13</v>
      </c>
      <c r="G224" s="15" t="s">
        <v>14</v>
      </c>
      <c r="H224" s="16">
        <v>45109</v>
      </c>
      <c r="I224" s="15" t="s">
        <v>285</v>
      </c>
      <c r="J224" s="12">
        <v>1</v>
      </c>
      <c r="K224" s="18" t="s">
        <v>310</v>
      </c>
    </row>
    <row r="225" spans="1:11" ht="26" customHeight="1" x14ac:dyDescent="0.35">
      <c r="A225" s="12">
        <v>224</v>
      </c>
      <c r="B225" s="13">
        <v>33093</v>
      </c>
      <c r="C225" s="21">
        <v>217662002258</v>
      </c>
      <c r="D225" s="14" t="s">
        <v>126</v>
      </c>
      <c r="E225" s="12" t="s">
        <v>127</v>
      </c>
      <c r="F225" s="12" t="s">
        <v>13</v>
      </c>
      <c r="G225" s="15" t="s">
        <v>14</v>
      </c>
      <c r="H225" s="16">
        <v>45115</v>
      </c>
      <c r="I225" s="15" t="s">
        <v>287</v>
      </c>
      <c r="J225" s="12">
        <v>1</v>
      </c>
      <c r="K225" s="18">
        <v>210</v>
      </c>
    </row>
    <row r="226" spans="1:11" ht="26" customHeight="1" x14ac:dyDescent="0.35">
      <c r="A226" s="12">
        <v>225</v>
      </c>
      <c r="B226" s="13">
        <v>33093</v>
      </c>
      <c r="C226" s="21">
        <v>217662002258</v>
      </c>
      <c r="D226" s="14" t="s">
        <v>126</v>
      </c>
      <c r="E226" s="12" t="s">
        <v>127</v>
      </c>
      <c r="F226" s="12" t="s">
        <v>13</v>
      </c>
      <c r="G226" s="15" t="s">
        <v>14</v>
      </c>
      <c r="H226" s="16">
        <v>45026</v>
      </c>
      <c r="I226" s="15" t="s">
        <v>288</v>
      </c>
      <c r="J226" s="12">
        <v>1</v>
      </c>
      <c r="K226" s="18" t="s">
        <v>58</v>
      </c>
    </row>
    <row r="227" spans="1:11" ht="26" customHeight="1" x14ac:dyDescent="0.35">
      <c r="A227" s="12">
        <v>226</v>
      </c>
      <c r="B227" s="13">
        <v>6670</v>
      </c>
      <c r="C227" s="21">
        <v>117486000028</v>
      </c>
      <c r="D227" s="14" t="s">
        <v>134</v>
      </c>
      <c r="E227" s="12" t="s">
        <v>86</v>
      </c>
      <c r="F227" s="12" t="s">
        <v>13</v>
      </c>
      <c r="G227" s="15" t="s">
        <v>14</v>
      </c>
      <c r="H227" s="16">
        <v>45106</v>
      </c>
      <c r="I227" s="15" t="s">
        <v>78</v>
      </c>
      <c r="J227" s="12">
        <v>1</v>
      </c>
      <c r="K227" s="18" t="s">
        <v>311</v>
      </c>
    </row>
    <row r="228" spans="1:11" ht="26" customHeight="1" x14ac:dyDescent="0.35">
      <c r="A228" s="12">
        <v>227</v>
      </c>
      <c r="B228" s="13">
        <v>6670</v>
      </c>
      <c r="C228" s="21">
        <v>117486000028</v>
      </c>
      <c r="D228" s="14" t="s">
        <v>134</v>
      </c>
      <c r="E228" s="12" t="s">
        <v>86</v>
      </c>
      <c r="F228" s="12" t="s">
        <v>13</v>
      </c>
      <c r="G228" s="15" t="s">
        <v>14</v>
      </c>
      <c r="H228" s="16">
        <v>45106</v>
      </c>
      <c r="I228" s="15" t="s">
        <v>78</v>
      </c>
      <c r="J228" s="12">
        <v>1</v>
      </c>
      <c r="K228" s="18" t="s">
        <v>312</v>
      </c>
    </row>
    <row r="229" spans="1:11" ht="26" customHeight="1" x14ac:dyDescent="0.35">
      <c r="A229" s="12">
        <v>228</v>
      </c>
      <c r="B229" s="13">
        <v>6670</v>
      </c>
      <c r="C229" s="21">
        <v>117486000028</v>
      </c>
      <c r="D229" s="14" t="s">
        <v>134</v>
      </c>
      <c r="E229" s="12" t="s">
        <v>86</v>
      </c>
      <c r="F229" s="12" t="s">
        <v>13</v>
      </c>
      <c r="G229" s="15" t="s">
        <v>14</v>
      </c>
      <c r="H229" s="16">
        <v>45120</v>
      </c>
      <c r="I229" s="15" t="s">
        <v>271</v>
      </c>
      <c r="J229" s="12">
        <v>1</v>
      </c>
      <c r="K229" s="18">
        <v>665</v>
      </c>
    </row>
    <row r="230" spans="1:11" ht="26" customHeight="1" x14ac:dyDescent="0.35">
      <c r="A230" s="12">
        <v>229</v>
      </c>
      <c r="B230" s="13">
        <v>6670</v>
      </c>
      <c r="C230" s="21">
        <v>117486000028</v>
      </c>
      <c r="D230" s="14" t="s">
        <v>134</v>
      </c>
      <c r="E230" s="12" t="s">
        <v>86</v>
      </c>
      <c r="F230" s="12" t="s">
        <v>13</v>
      </c>
      <c r="G230" s="15" t="s">
        <v>14</v>
      </c>
      <c r="H230" s="16">
        <v>45107</v>
      </c>
      <c r="I230" s="15" t="s">
        <v>76</v>
      </c>
      <c r="J230" s="12">
        <v>1</v>
      </c>
      <c r="K230" s="18" t="s">
        <v>313</v>
      </c>
    </row>
    <row r="231" spans="1:11" ht="26" customHeight="1" x14ac:dyDescent="0.35">
      <c r="A231" s="12">
        <v>230</v>
      </c>
      <c r="B231" s="13">
        <v>6670</v>
      </c>
      <c r="C231" s="21">
        <v>117486000028</v>
      </c>
      <c r="D231" s="14" t="s">
        <v>134</v>
      </c>
      <c r="E231" s="12" t="s">
        <v>86</v>
      </c>
      <c r="F231" s="12" t="s">
        <v>13</v>
      </c>
      <c r="G231" s="15" t="s">
        <v>14</v>
      </c>
      <c r="H231" s="16">
        <v>45099</v>
      </c>
      <c r="I231" s="15" t="s">
        <v>72</v>
      </c>
      <c r="J231" s="12">
        <v>1</v>
      </c>
      <c r="K231" s="18" t="s">
        <v>314</v>
      </c>
    </row>
    <row r="232" spans="1:11" ht="26" customHeight="1" x14ac:dyDescent="0.35">
      <c r="A232" s="12">
        <v>231</v>
      </c>
      <c r="B232" s="13">
        <v>6670</v>
      </c>
      <c r="C232" s="21">
        <v>117486000028</v>
      </c>
      <c r="D232" s="14" t="s">
        <v>134</v>
      </c>
      <c r="E232" s="12" t="s">
        <v>86</v>
      </c>
      <c r="F232" s="12" t="s">
        <v>13</v>
      </c>
      <c r="G232" s="15" t="s">
        <v>14</v>
      </c>
      <c r="H232" s="16">
        <v>45103</v>
      </c>
      <c r="I232" s="15" t="s">
        <v>74</v>
      </c>
      <c r="J232" s="12">
        <v>1</v>
      </c>
      <c r="K232" s="18" t="s">
        <v>315</v>
      </c>
    </row>
    <row r="233" spans="1:11" ht="26" customHeight="1" x14ac:dyDescent="0.35">
      <c r="A233" s="12">
        <v>232</v>
      </c>
      <c r="B233" s="13">
        <v>6670</v>
      </c>
      <c r="C233" s="21">
        <v>117486000028</v>
      </c>
      <c r="D233" s="14" t="s">
        <v>134</v>
      </c>
      <c r="E233" s="12" t="s">
        <v>86</v>
      </c>
      <c r="F233" s="12" t="s">
        <v>13</v>
      </c>
      <c r="G233" s="15" t="s">
        <v>14</v>
      </c>
      <c r="H233" s="16">
        <v>45105</v>
      </c>
      <c r="I233" s="15" t="s">
        <v>81</v>
      </c>
      <c r="J233" s="12">
        <v>2</v>
      </c>
      <c r="K233" s="18" t="s">
        <v>316</v>
      </c>
    </row>
    <row r="234" spans="1:11" ht="26" customHeight="1" x14ac:dyDescent="0.35">
      <c r="A234" s="12">
        <v>233</v>
      </c>
      <c r="B234" s="13">
        <v>6670</v>
      </c>
      <c r="C234" s="21">
        <v>117486000028</v>
      </c>
      <c r="D234" s="14" t="s">
        <v>134</v>
      </c>
      <c r="E234" s="12" t="s">
        <v>86</v>
      </c>
      <c r="F234" s="12" t="s">
        <v>13</v>
      </c>
      <c r="G234" s="15" t="s">
        <v>14</v>
      </c>
      <c r="H234" s="16">
        <v>45111</v>
      </c>
      <c r="I234" s="15" t="s">
        <v>142</v>
      </c>
      <c r="J234" s="12">
        <v>1</v>
      </c>
      <c r="K234" s="18" t="s">
        <v>317</v>
      </c>
    </row>
    <row r="235" spans="1:11" ht="26" customHeight="1" x14ac:dyDescent="0.35">
      <c r="A235" s="12">
        <v>234</v>
      </c>
      <c r="B235" s="13">
        <v>6670</v>
      </c>
      <c r="C235" s="21">
        <v>117486000028</v>
      </c>
      <c r="D235" s="14" t="s">
        <v>134</v>
      </c>
      <c r="E235" s="12" t="s">
        <v>86</v>
      </c>
      <c r="F235" s="12" t="s">
        <v>13</v>
      </c>
      <c r="G235" s="15" t="s">
        <v>14</v>
      </c>
      <c r="H235" s="16">
        <v>45126</v>
      </c>
      <c r="I235" s="15" t="s">
        <v>277</v>
      </c>
      <c r="J235" s="12">
        <v>1</v>
      </c>
      <c r="K235" s="18">
        <v>2603035353</v>
      </c>
    </row>
    <row r="236" spans="1:11" ht="26" customHeight="1" x14ac:dyDescent="0.35">
      <c r="A236" s="12">
        <v>235</v>
      </c>
      <c r="B236" s="13">
        <v>6670</v>
      </c>
      <c r="C236" s="21">
        <v>117486000028</v>
      </c>
      <c r="D236" s="14" t="s">
        <v>134</v>
      </c>
      <c r="E236" s="12" t="s">
        <v>86</v>
      </c>
      <c r="F236" s="12" t="s">
        <v>13</v>
      </c>
      <c r="G236" s="15" t="s">
        <v>14</v>
      </c>
      <c r="H236" s="16">
        <v>45112</v>
      </c>
      <c r="I236" s="15" t="s">
        <v>278</v>
      </c>
      <c r="J236" s="12">
        <v>1</v>
      </c>
      <c r="K236" s="18" t="s">
        <v>318</v>
      </c>
    </row>
    <row r="237" spans="1:11" ht="26" customHeight="1" x14ac:dyDescent="0.35">
      <c r="A237" s="12">
        <v>236</v>
      </c>
      <c r="B237" s="13">
        <v>6670</v>
      </c>
      <c r="C237" s="21">
        <v>117486000028</v>
      </c>
      <c r="D237" s="14" t="s">
        <v>134</v>
      </c>
      <c r="E237" s="12" t="s">
        <v>86</v>
      </c>
      <c r="F237" s="12" t="s">
        <v>13</v>
      </c>
      <c r="G237" s="15" t="s">
        <v>14</v>
      </c>
      <c r="H237" s="16">
        <v>45119</v>
      </c>
      <c r="I237" s="15" t="s">
        <v>280</v>
      </c>
      <c r="J237" s="12">
        <v>1</v>
      </c>
      <c r="K237" s="18">
        <v>611</v>
      </c>
    </row>
    <row r="238" spans="1:11" ht="26" customHeight="1" x14ac:dyDescent="0.35">
      <c r="A238" s="12">
        <v>237</v>
      </c>
      <c r="B238" s="13">
        <v>6670</v>
      </c>
      <c r="C238" s="21">
        <v>117486000028</v>
      </c>
      <c r="D238" s="14" t="s">
        <v>134</v>
      </c>
      <c r="E238" s="12" t="s">
        <v>86</v>
      </c>
      <c r="F238" s="12" t="s">
        <v>13</v>
      </c>
      <c r="G238" s="15" t="s">
        <v>14</v>
      </c>
      <c r="H238" s="16">
        <v>45104</v>
      </c>
      <c r="I238" s="15" t="s">
        <v>281</v>
      </c>
      <c r="J238" s="12">
        <v>1</v>
      </c>
      <c r="K238" s="18" t="s">
        <v>319</v>
      </c>
    </row>
    <row r="239" spans="1:11" ht="26" customHeight="1" x14ac:dyDescent="0.35">
      <c r="A239" s="12">
        <v>238</v>
      </c>
      <c r="B239" s="13">
        <v>6670</v>
      </c>
      <c r="C239" s="21">
        <v>117486000028</v>
      </c>
      <c r="D239" s="14" t="s">
        <v>134</v>
      </c>
      <c r="E239" s="12" t="s">
        <v>86</v>
      </c>
      <c r="F239" s="12" t="s">
        <v>13</v>
      </c>
      <c r="G239" s="15" t="s">
        <v>14</v>
      </c>
      <c r="H239" s="16">
        <v>45110</v>
      </c>
      <c r="I239" s="15" t="s">
        <v>283</v>
      </c>
      <c r="J239" s="12">
        <v>1</v>
      </c>
      <c r="K239" s="18" t="s">
        <v>320</v>
      </c>
    </row>
    <row r="240" spans="1:11" ht="26" customHeight="1" x14ac:dyDescent="0.35">
      <c r="A240" s="12">
        <v>239</v>
      </c>
      <c r="B240" s="13">
        <v>6670</v>
      </c>
      <c r="C240" s="21">
        <v>117486000028</v>
      </c>
      <c r="D240" s="14" t="s">
        <v>134</v>
      </c>
      <c r="E240" s="12" t="s">
        <v>86</v>
      </c>
      <c r="F240" s="12" t="s">
        <v>13</v>
      </c>
      <c r="G240" s="15" t="s">
        <v>14</v>
      </c>
      <c r="H240" s="16">
        <v>45109</v>
      </c>
      <c r="I240" s="15" t="s">
        <v>285</v>
      </c>
      <c r="J240" s="12">
        <v>1</v>
      </c>
      <c r="K240" s="18" t="s">
        <v>321</v>
      </c>
    </row>
    <row r="241" spans="1:11" ht="26" customHeight="1" x14ac:dyDescent="0.35">
      <c r="A241" s="12">
        <v>240</v>
      </c>
      <c r="B241" s="13">
        <v>6670</v>
      </c>
      <c r="C241" s="21">
        <v>117486000028</v>
      </c>
      <c r="D241" s="14" t="s">
        <v>134</v>
      </c>
      <c r="E241" s="12" t="s">
        <v>86</v>
      </c>
      <c r="F241" s="12" t="s">
        <v>13</v>
      </c>
      <c r="G241" s="15" t="s">
        <v>14</v>
      </c>
      <c r="H241" s="16">
        <v>45115</v>
      </c>
      <c r="I241" s="15" t="s">
        <v>287</v>
      </c>
      <c r="J241" s="12">
        <v>1</v>
      </c>
      <c r="K241" s="18">
        <v>201</v>
      </c>
    </row>
    <row r="242" spans="1:11" ht="26" customHeight="1" x14ac:dyDescent="0.35">
      <c r="A242" s="12">
        <v>241</v>
      </c>
      <c r="B242" s="13">
        <v>6670</v>
      </c>
      <c r="C242" s="21">
        <v>117486000028</v>
      </c>
      <c r="D242" s="14" t="s">
        <v>134</v>
      </c>
      <c r="E242" s="12" t="s">
        <v>86</v>
      </c>
      <c r="F242" s="12" t="s">
        <v>13</v>
      </c>
      <c r="G242" s="15" t="s">
        <v>14</v>
      </c>
      <c r="H242" s="16">
        <v>45026</v>
      </c>
      <c r="I242" s="15" t="s">
        <v>288</v>
      </c>
      <c r="J242" s="12">
        <v>1</v>
      </c>
      <c r="K242" s="18" t="s">
        <v>58</v>
      </c>
    </row>
    <row r="243" spans="1:11" ht="26" customHeight="1" x14ac:dyDescent="0.35">
      <c r="A243" s="12">
        <v>242</v>
      </c>
      <c r="B243" s="13">
        <v>14892</v>
      </c>
      <c r="C243" s="21">
        <v>217614000391</v>
      </c>
      <c r="D243" s="14" t="s">
        <v>180</v>
      </c>
      <c r="E243" s="12" t="s">
        <v>12</v>
      </c>
      <c r="F243" s="12" t="s">
        <v>13</v>
      </c>
      <c r="G243" s="15" t="s">
        <v>14</v>
      </c>
      <c r="H243" s="16">
        <v>45106</v>
      </c>
      <c r="I243" s="15" t="s">
        <v>78</v>
      </c>
      <c r="J243" s="12">
        <v>1</v>
      </c>
      <c r="K243" s="18" t="s">
        <v>322</v>
      </c>
    </row>
    <row r="244" spans="1:11" ht="26" customHeight="1" x14ac:dyDescent="0.35">
      <c r="A244" s="12">
        <v>243</v>
      </c>
      <c r="B244" s="13">
        <v>14892</v>
      </c>
      <c r="C244" s="21">
        <v>217614000391</v>
      </c>
      <c r="D244" s="14" t="s">
        <v>180</v>
      </c>
      <c r="E244" s="12" t="s">
        <v>12</v>
      </c>
      <c r="F244" s="12" t="s">
        <v>13</v>
      </c>
      <c r="G244" s="15" t="s">
        <v>14</v>
      </c>
      <c r="H244" s="16">
        <v>45106</v>
      </c>
      <c r="I244" s="15" t="s">
        <v>78</v>
      </c>
      <c r="J244" s="12">
        <v>1</v>
      </c>
      <c r="K244" s="18" t="s">
        <v>323</v>
      </c>
    </row>
    <row r="245" spans="1:11" ht="26" customHeight="1" x14ac:dyDescent="0.35">
      <c r="A245" s="12">
        <v>244</v>
      </c>
      <c r="B245" s="13">
        <v>14892</v>
      </c>
      <c r="C245" s="21">
        <v>217614000391</v>
      </c>
      <c r="D245" s="14" t="s">
        <v>180</v>
      </c>
      <c r="E245" s="12" t="s">
        <v>12</v>
      </c>
      <c r="F245" s="12" t="s">
        <v>13</v>
      </c>
      <c r="G245" s="15" t="s">
        <v>14</v>
      </c>
      <c r="H245" s="16">
        <v>45120</v>
      </c>
      <c r="I245" s="15" t="s">
        <v>271</v>
      </c>
      <c r="J245" s="12">
        <v>1</v>
      </c>
      <c r="K245" s="18">
        <v>666</v>
      </c>
    </row>
    <row r="246" spans="1:11" ht="26" customHeight="1" x14ac:dyDescent="0.35">
      <c r="A246" s="12">
        <v>245</v>
      </c>
      <c r="B246" s="13">
        <v>14892</v>
      </c>
      <c r="C246" s="21">
        <v>217614000391</v>
      </c>
      <c r="D246" s="14" t="s">
        <v>180</v>
      </c>
      <c r="E246" s="12" t="s">
        <v>12</v>
      </c>
      <c r="F246" s="12" t="s">
        <v>13</v>
      </c>
      <c r="G246" s="15" t="s">
        <v>14</v>
      </c>
      <c r="H246" s="16">
        <v>45107</v>
      </c>
      <c r="I246" s="15" t="s">
        <v>76</v>
      </c>
      <c r="J246" s="12">
        <v>1</v>
      </c>
      <c r="K246" s="18" t="s">
        <v>324</v>
      </c>
    </row>
    <row r="247" spans="1:11" ht="26" customHeight="1" x14ac:dyDescent="0.35">
      <c r="A247" s="12">
        <v>246</v>
      </c>
      <c r="B247" s="13">
        <v>14892</v>
      </c>
      <c r="C247" s="21">
        <v>217614000391</v>
      </c>
      <c r="D247" s="14" t="s">
        <v>180</v>
      </c>
      <c r="E247" s="12" t="s">
        <v>12</v>
      </c>
      <c r="F247" s="12" t="s">
        <v>13</v>
      </c>
      <c r="G247" s="15" t="s">
        <v>14</v>
      </c>
      <c r="H247" s="16">
        <v>45099</v>
      </c>
      <c r="I247" s="15" t="s">
        <v>72</v>
      </c>
      <c r="J247" s="12">
        <v>1</v>
      </c>
      <c r="K247" s="18" t="s">
        <v>325</v>
      </c>
    </row>
    <row r="248" spans="1:11" ht="26" customHeight="1" x14ac:dyDescent="0.35">
      <c r="A248" s="12">
        <v>247</v>
      </c>
      <c r="B248" s="13">
        <v>14892</v>
      </c>
      <c r="C248" s="21">
        <v>217614000391</v>
      </c>
      <c r="D248" s="14" t="s">
        <v>180</v>
      </c>
      <c r="E248" s="12" t="s">
        <v>12</v>
      </c>
      <c r="F248" s="12" t="s">
        <v>13</v>
      </c>
      <c r="G248" s="15" t="s">
        <v>14</v>
      </c>
      <c r="H248" s="16">
        <v>45103</v>
      </c>
      <c r="I248" s="15" t="s">
        <v>74</v>
      </c>
      <c r="J248" s="12">
        <v>1</v>
      </c>
      <c r="K248" s="18" t="s">
        <v>326</v>
      </c>
    </row>
    <row r="249" spans="1:11" ht="26" customHeight="1" x14ac:dyDescent="0.35">
      <c r="A249" s="12">
        <v>248</v>
      </c>
      <c r="B249" s="13">
        <v>14892</v>
      </c>
      <c r="C249" s="21">
        <v>217614000391</v>
      </c>
      <c r="D249" s="14" t="s">
        <v>180</v>
      </c>
      <c r="E249" s="12" t="s">
        <v>12</v>
      </c>
      <c r="F249" s="12" t="s">
        <v>13</v>
      </c>
      <c r="G249" s="15" t="s">
        <v>14</v>
      </c>
      <c r="H249" s="16">
        <v>45105</v>
      </c>
      <c r="I249" s="15" t="s">
        <v>81</v>
      </c>
      <c r="J249" s="12">
        <v>2</v>
      </c>
      <c r="K249" s="18" t="s">
        <v>327</v>
      </c>
    </row>
    <row r="250" spans="1:11" ht="26" customHeight="1" x14ac:dyDescent="0.35">
      <c r="A250" s="12">
        <v>249</v>
      </c>
      <c r="B250" s="13">
        <v>14892</v>
      </c>
      <c r="C250" s="21">
        <v>217614000391</v>
      </c>
      <c r="D250" s="14" t="s">
        <v>180</v>
      </c>
      <c r="E250" s="12" t="s">
        <v>12</v>
      </c>
      <c r="F250" s="12" t="s">
        <v>13</v>
      </c>
      <c r="G250" s="15" t="s">
        <v>14</v>
      </c>
      <c r="H250" s="16">
        <v>45111</v>
      </c>
      <c r="I250" s="15" t="s">
        <v>142</v>
      </c>
      <c r="J250" s="12">
        <v>1</v>
      </c>
      <c r="K250" s="18" t="s">
        <v>328</v>
      </c>
    </row>
    <row r="251" spans="1:11" ht="26" customHeight="1" x14ac:dyDescent="0.35">
      <c r="A251" s="12">
        <v>250</v>
      </c>
      <c r="B251" s="13">
        <v>14892</v>
      </c>
      <c r="C251" s="21">
        <v>217614000391</v>
      </c>
      <c r="D251" s="14" t="s">
        <v>180</v>
      </c>
      <c r="E251" s="12" t="s">
        <v>12</v>
      </c>
      <c r="F251" s="12" t="s">
        <v>13</v>
      </c>
      <c r="G251" s="15" t="s">
        <v>14</v>
      </c>
      <c r="H251" s="16">
        <v>45126</v>
      </c>
      <c r="I251" s="15" t="s">
        <v>277</v>
      </c>
      <c r="J251" s="12">
        <v>1</v>
      </c>
      <c r="K251" s="18">
        <v>2603035436</v>
      </c>
    </row>
    <row r="252" spans="1:11" ht="26" customHeight="1" x14ac:dyDescent="0.35">
      <c r="A252" s="12">
        <v>251</v>
      </c>
      <c r="B252" s="13">
        <v>14892</v>
      </c>
      <c r="C252" s="21">
        <v>217614000391</v>
      </c>
      <c r="D252" s="14" t="s">
        <v>180</v>
      </c>
      <c r="E252" s="12" t="s">
        <v>12</v>
      </c>
      <c r="F252" s="12" t="s">
        <v>13</v>
      </c>
      <c r="G252" s="15" t="s">
        <v>14</v>
      </c>
      <c r="H252" s="16">
        <v>45112</v>
      </c>
      <c r="I252" s="15" t="s">
        <v>278</v>
      </c>
      <c r="J252" s="12">
        <v>1</v>
      </c>
      <c r="K252" s="18" t="s">
        <v>329</v>
      </c>
    </row>
    <row r="253" spans="1:11" ht="26" customHeight="1" x14ac:dyDescent="0.35">
      <c r="A253" s="12">
        <v>252</v>
      </c>
      <c r="B253" s="13">
        <v>14892</v>
      </c>
      <c r="C253" s="21">
        <v>217614000391</v>
      </c>
      <c r="D253" s="14" t="s">
        <v>180</v>
      </c>
      <c r="E253" s="12" t="s">
        <v>12</v>
      </c>
      <c r="F253" s="12" t="s">
        <v>13</v>
      </c>
      <c r="G253" s="15" t="s">
        <v>14</v>
      </c>
      <c r="H253" s="16">
        <v>45119</v>
      </c>
      <c r="I253" s="15" t="s">
        <v>280</v>
      </c>
      <c r="J253" s="12">
        <v>1</v>
      </c>
      <c r="K253" s="18">
        <v>612</v>
      </c>
    </row>
    <row r="254" spans="1:11" ht="26" customHeight="1" x14ac:dyDescent="0.35">
      <c r="A254" s="12">
        <v>253</v>
      </c>
      <c r="B254" s="13">
        <v>14892</v>
      </c>
      <c r="C254" s="21">
        <v>217614000391</v>
      </c>
      <c r="D254" s="14" t="s">
        <v>180</v>
      </c>
      <c r="E254" s="12" t="s">
        <v>12</v>
      </c>
      <c r="F254" s="12" t="s">
        <v>13</v>
      </c>
      <c r="G254" s="15" t="s">
        <v>14</v>
      </c>
      <c r="H254" s="16">
        <v>45104</v>
      </c>
      <c r="I254" s="15" t="s">
        <v>281</v>
      </c>
      <c r="J254" s="12">
        <v>1</v>
      </c>
      <c r="K254" s="18" t="s">
        <v>330</v>
      </c>
    </row>
    <row r="255" spans="1:11" ht="26" customHeight="1" x14ac:dyDescent="0.35">
      <c r="A255" s="12">
        <v>254</v>
      </c>
      <c r="B255" s="13">
        <v>14892</v>
      </c>
      <c r="C255" s="21">
        <v>217614000391</v>
      </c>
      <c r="D255" s="14" t="s">
        <v>180</v>
      </c>
      <c r="E255" s="12" t="s">
        <v>12</v>
      </c>
      <c r="F255" s="12" t="s">
        <v>13</v>
      </c>
      <c r="G255" s="15" t="s">
        <v>14</v>
      </c>
      <c r="H255" s="16">
        <v>45110</v>
      </c>
      <c r="I255" s="15" t="s">
        <v>283</v>
      </c>
      <c r="J255" s="12">
        <v>1</v>
      </c>
      <c r="K255" s="18" t="s">
        <v>331</v>
      </c>
    </row>
    <row r="256" spans="1:11" ht="26" customHeight="1" x14ac:dyDescent="0.35">
      <c r="A256" s="12">
        <v>255</v>
      </c>
      <c r="B256" s="13">
        <v>14892</v>
      </c>
      <c r="C256" s="21">
        <v>217614000391</v>
      </c>
      <c r="D256" s="14" t="s">
        <v>180</v>
      </c>
      <c r="E256" s="12" t="s">
        <v>12</v>
      </c>
      <c r="F256" s="12" t="s">
        <v>13</v>
      </c>
      <c r="G256" s="15" t="s">
        <v>14</v>
      </c>
      <c r="H256" s="16">
        <v>45109</v>
      </c>
      <c r="I256" s="15" t="s">
        <v>285</v>
      </c>
      <c r="J256" s="12">
        <v>1</v>
      </c>
      <c r="K256" s="18" t="s">
        <v>332</v>
      </c>
    </row>
    <row r="257" spans="1:11" ht="26" customHeight="1" x14ac:dyDescent="0.35">
      <c r="A257" s="12">
        <v>256</v>
      </c>
      <c r="B257" s="13">
        <v>14892</v>
      </c>
      <c r="C257" s="21">
        <v>217614000391</v>
      </c>
      <c r="D257" s="14" t="s">
        <v>180</v>
      </c>
      <c r="E257" s="12" t="s">
        <v>12</v>
      </c>
      <c r="F257" s="12" t="s">
        <v>13</v>
      </c>
      <c r="G257" s="15" t="s">
        <v>14</v>
      </c>
      <c r="H257" s="16">
        <v>45115</v>
      </c>
      <c r="I257" s="15" t="s">
        <v>287</v>
      </c>
      <c r="J257" s="12">
        <v>1</v>
      </c>
      <c r="K257" s="18">
        <v>203</v>
      </c>
    </row>
    <row r="258" spans="1:11" ht="26" customHeight="1" x14ac:dyDescent="0.35">
      <c r="A258" s="12">
        <v>257</v>
      </c>
      <c r="B258" s="13">
        <v>14892</v>
      </c>
      <c r="C258" s="21">
        <v>217614000391</v>
      </c>
      <c r="D258" s="14" t="s">
        <v>180</v>
      </c>
      <c r="E258" s="12" t="s">
        <v>12</v>
      </c>
      <c r="F258" s="12" t="s">
        <v>13</v>
      </c>
      <c r="G258" s="15" t="s">
        <v>14</v>
      </c>
      <c r="H258" s="16">
        <v>45026</v>
      </c>
      <c r="I258" s="15" t="s">
        <v>288</v>
      </c>
      <c r="J258" s="12">
        <v>1</v>
      </c>
      <c r="K258" s="18" t="s">
        <v>58</v>
      </c>
    </row>
    <row r="259" spans="1:11" ht="26" customHeight="1" x14ac:dyDescent="0.35">
      <c r="A259" s="12">
        <v>258</v>
      </c>
      <c r="B259" s="13">
        <v>32704</v>
      </c>
      <c r="C259" s="21">
        <v>217050000400</v>
      </c>
      <c r="D259" s="14" t="s">
        <v>184</v>
      </c>
      <c r="E259" s="12" t="s">
        <v>100</v>
      </c>
      <c r="F259" s="12" t="s">
        <v>13</v>
      </c>
      <c r="G259" s="15" t="s">
        <v>14</v>
      </c>
      <c r="H259" s="16">
        <v>45106</v>
      </c>
      <c r="I259" s="15" t="s">
        <v>78</v>
      </c>
      <c r="J259" s="12">
        <v>1</v>
      </c>
      <c r="K259" s="18" t="s">
        <v>333</v>
      </c>
    </row>
    <row r="260" spans="1:11" ht="26" customHeight="1" x14ac:dyDescent="0.35">
      <c r="A260" s="12">
        <v>259</v>
      </c>
      <c r="B260" s="13">
        <v>32704</v>
      </c>
      <c r="C260" s="21">
        <v>217050000400</v>
      </c>
      <c r="D260" s="14" t="s">
        <v>184</v>
      </c>
      <c r="E260" s="12" t="s">
        <v>100</v>
      </c>
      <c r="F260" s="12" t="s">
        <v>13</v>
      </c>
      <c r="G260" s="15" t="s">
        <v>14</v>
      </c>
      <c r="H260" s="16">
        <v>45106</v>
      </c>
      <c r="I260" s="15" t="s">
        <v>78</v>
      </c>
      <c r="J260" s="12">
        <v>1</v>
      </c>
      <c r="K260" s="18" t="s">
        <v>334</v>
      </c>
    </row>
    <row r="261" spans="1:11" ht="26" customHeight="1" x14ac:dyDescent="0.35">
      <c r="A261" s="12">
        <v>260</v>
      </c>
      <c r="B261" s="13">
        <v>32704</v>
      </c>
      <c r="C261" s="21">
        <v>217050000400</v>
      </c>
      <c r="D261" s="14" t="s">
        <v>184</v>
      </c>
      <c r="E261" s="12" t="s">
        <v>100</v>
      </c>
      <c r="F261" s="12" t="s">
        <v>13</v>
      </c>
      <c r="G261" s="15" t="s">
        <v>14</v>
      </c>
      <c r="H261" s="16">
        <v>45120</v>
      </c>
      <c r="I261" s="15" t="s">
        <v>271</v>
      </c>
      <c r="J261" s="12">
        <v>1</v>
      </c>
      <c r="K261" s="18">
        <v>663</v>
      </c>
    </row>
    <row r="262" spans="1:11" ht="26" customHeight="1" x14ac:dyDescent="0.35">
      <c r="A262" s="12">
        <v>261</v>
      </c>
      <c r="B262" s="13">
        <v>32704</v>
      </c>
      <c r="C262" s="21">
        <v>217050000400</v>
      </c>
      <c r="D262" s="14" t="s">
        <v>184</v>
      </c>
      <c r="E262" s="12" t="s">
        <v>100</v>
      </c>
      <c r="F262" s="12" t="s">
        <v>13</v>
      </c>
      <c r="G262" s="15" t="s">
        <v>14</v>
      </c>
      <c r="H262" s="16">
        <v>45107</v>
      </c>
      <c r="I262" s="15" t="s">
        <v>76</v>
      </c>
      <c r="J262" s="12">
        <v>1</v>
      </c>
      <c r="K262" s="18" t="s">
        <v>335</v>
      </c>
    </row>
    <row r="263" spans="1:11" ht="26" customHeight="1" x14ac:dyDescent="0.35">
      <c r="A263" s="12">
        <v>262</v>
      </c>
      <c r="B263" s="13">
        <v>32704</v>
      </c>
      <c r="C263" s="21">
        <v>217050000400</v>
      </c>
      <c r="D263" s="14" t="s">
        <v>184</v>
      </c>
      <c r="E263" s="12" t="s">
        <v>100</v>
      </c>
      <c r="F263" s="12" t="s">
        <v>13</v>
      </c>
      <c r="G263" s="15" t="s">
        <v>14</v>
      </c>
      <c r="H263" s="16">
        <v>45099</v>
      </c>
      <c r="I263" s="15" t="s">
        <v>72</v>
      </c>
      <c r="J263" s="12">
        <v>1</v>
      </c>
      <c r="K263" s="18" t="s">
        <v>336</v>
      </c>
    </row>
    <row r="264" spans="1:11" ht="26" customHeight="1" x14ac:dyDescent="0.35">
      <c r="A264" s="12">
        <v>263</v>
      </c>
      <c r="B264" s="13">
        <v>32704</v>
      </c>
      <c r="C264" s="21">
        <v>217050000400</v>
      </c>
      <c r="D264" s="14" t="s">
        <v>184</v>
      </c>
      <c r="E264" s="12" t="s">
        <v>100</v>
      </c>
      <c r="F264" s="12" t="s">
        <v>13</v>
      </c>
      <c r="G264" s="15" t="s">
        <v>14</v>
      </c>
      <c r="H264" s="16">
        <v>45103</v>
      </c>
      <c r="I264" s="15" t="s">
        <v>74</v>
      </c>
      <c r="J264" s="12">
        <v>1</v>
      </c>
      <c r="K264" s="18" t="s">
        <v>337</v>
      </c>
    </row>
    <row r="265" spans="1:11" ht="26" customHeight="1" x14ac:dyDescent="0.35">
      <c r="A265" s="12">
        <v>264</v>
      </c>
      <c r="B265" s="13">
        <v>32704</v>
      </c>
      <c r="C265" s="21">
        <v>217050000400</v>
      </c>
      <c r="D265" s="14" t="s">
        <v>184</v>
      </c>
      <c r="E265" s="12" t="s">
        <v>100</v>
      </c>
      <c r="F265" s="12" t="s">
        <v>13</v>
      </c>
      <c r="G265" s="15" t="s">
        <v>14</v>
      </c>
      <c r="H265" s="16">
        <v>45105</v>
      </c>
      <c r="I265" s="15" t="s">
        <v>81</v>
      </c>
      <c r="J265" s="12">
        <v>2</v>
      </c>
      <c r="K265" s="18" t="s">
        <v>338</v>
      </c>
    </row>
    <row r="266" spans="1:11" ht="26" customHeight="1" x14ac:dyDescent="0.35">
      <c r="A266" s="12">
        <v>265</v>
      </c>
      <c r="B266" s="13">
        <v>32704</v>
      </c>
      <c r="C266" s="21">
        <v>217050000400</v>
      </c>
      <c r="D266" s="14" t="s">
        <v>184</v>
      </c>
      <c r="E266" s="12" t="s">
        <v>100</v>
      </c>
      <c r="F266" s="12" t="s">
        <v>13</v>
      </c>
      <c r="G266" s="15" t="s">
        <v>14</v>
      </c>
      <c r="H266" s="16">
        <v>45111</v>
      </c>
      <c r="I266" s="15" t="s">
        <v>142</v>
      </c>
      <c r="J266" s="12">
        <v>1</v>
      </c>
      <c r="K266" s="18" t="s">
        <v>339</v>
      </c>
    </row>
    <row r="267" spans="1:11" ht="26" customHeight="1" x14ac:dyDescent="0.35">
      <c r="A267" s="12">
        <v>266</v>
      </c>
      <c r="B267" s="13">
        <v>32704</v>
      </c>
      <c r="C267" s="21">
        <v>217050000400</v>
      </c>
      <c r="D267" s="14" t="s">
        <v>184</v>
      </c>
      <c r="E267" s="12" t="s">
        <v>100</v>
      </c>
      <c r="F267" s="12" t="s">
        <v>13</v>
      </c>
      <c r="G267" s="15" t="s">
        <v>14</v>
      </c>
      <c r="H267" s="16">
        <v>45126</v>
      </c>
      <c r="I267" s="15" t="s">
        <v>277</v>
      </c>
      <c r="J267" s="12">
        <v>1</v>
      </c>
      <c r="K267" s="18">
        <v>2603035449</v>
      </c>
    </row>
    <row r="268" spans="1:11" ht="26" customHeight="1" x14ac:dyDescent="0.35">
      <c r="A268" s="12">
        <v>267</v>
      </c>
      <c r="B268" s="13">
        <v>32704</v>
      </c>
      <c r="C268" s="21">
        <v>217050000400</v>
      </c>
      <c r="D268" s="14" t="s">
        <v>184</v>
      </c>
      <c r="E268" s="12" t="s">
        <v>100</v>
      </c>
      <c r="F268" s="12" t="s">
        <v>13</v>
      </c>
      <c r="G268" s="15" t="s">
        <v>14</v>
      </c>
      <c r="H268" s="16">
        <v>45112</v>
      </c>
      <c r="I268" s="15" t="s">
        <v>278</v>
      </c>
      <c r="J268" s="12">
        <v>1</v>
      </c>
      <c r="K268" s="18" t="s">
        <v>340</v>
      </c>
    </row>
    <row r="269" spans="1:11" ht="26" customHeight="1" x14ac:dyDescent="0.35">
      <c r="A269" s="12">
        <v>268</v>
      </c>
      <c r="B269" s="13">
        <v>32704</v>
      </c>
      <c r="C269" s="21">
        <v>217050000400</v>
      </c>
      <c r="D269" s="14" t="s">
        <v>184</v>
      </c>
      <c r="E269" s="12" t="s">
        <v>100</v>
      </c>
      <c r="F269" s="12" t="s">
        <v>13</v>
      </c>
      <c r="G269" s="15" t="s">
        <v>14</v>
      </c>
      <c r="H269" s="16">
        <v>45119</v>
      </c>
      <c r="I269" s="15" t="s">
        <v>280</v>
      </c>
      <c r="J269" s="12">
        <v>1</v>
      </c>
      <c r="K269" s="18">
        <v>605</v>
      </c>
    </row>
    <row r="270" spans="1:11" ht="26" customHeight="1" x14ac:dyDescent="0.35">
      <c r="A270" s="12">
        <v>269</v>
      </c>
      <c r="B270" s="13">
        <v>32704</v>
      </c>
      <c r="C270" s="21">
        <v>217050000400</v>
      </c>
      <c r="D270" s="14" t="s">
        <v>184</v>
      </c>
      <c r="E270" s="12" t="s">
        <v>100</v>
      </c>
      <c r="F270" s="12" t="s">
        <v>13</v>
      </c>
      <c r="G270" s="15" t="s">
        <v>14</v>
      </c>
      <c r="H270" s="16">
        <v>45104</v>
      </c>
      <c r="I270" s="15" t="s">
        <v>281</v>
      </c>
      <c r="J270" s="12">
        <v>1</v>
      </c>
      <c r="K270" s="18" t="s">
        <v>341</v>
      </c>
    </row>
    <row r="271" spans="1:11" ht="26" customHeight="1" x14ac:dyDescent="0.35">
      <c r="A271" s="12">
        <v>270</v>
      </c>
      <c r="B271" s="13">
        <v>32704</v>
      </c>
      <c r="C271" s="21">
        <v>217050000400</v>
      </c>
      <c r="D271" s="14" t="s">
        <v>184</v>
      </c>
      <c r="E271" s="12" t="s">
        <v>100</v>
      </c>
      <c r="F271" s="12" t="s">
        <v>13</v>
      </c>
      <c r="G271" s="15" t="s">
        <v>14</v>
      </c>
      <c r="H271" s="16">
        <v>45110</v>
      </c>
      <c r="I271" s="15" t="s">
        <v>283</v>
      </c>
      <c r="J271" s="12">
        <v>1</v>
      </c>
      <c r="K271" s="18" t="s">
        <v>342</v>
      </c>
    </row>
    <row r="272" spans="1:11" ht="26" customHeight="1" x14ac:dyDescent="0.35">
      <c r="A272" s="12">
        <v>271</v>
      </c>
      <c r="B272" s="13">
        <v>32704</v>
      </c>
      <c r="C272" s="21">
        <v>217050000400</v>
      </c>
      <c r="D272" s="14" t="s">
        <v>184</v>
      </c>
      <c r="E272" s="12" t="s">
        <v>100</v>
      </c>
      <c r="F272" s="12" t="s">
        <v>13</v>
      </c>
      <c r="G272" s="15" t="s">
        <v>14</v>
      </c>
      <c r="H272" s="16">
        <v>45109</v>
      </c>
      <c r="I272" s="15" t="s">
        <v>285</v>
      </c>
      <c r="J272" s="12">
        <v>1</v>
      </c>
      <c r="K272" s="18" t="s">
        <v>343</v>
      </c>
    </row>
    <row r="273" spans="1:11" ht="26" customHeight="1" x14ac:dyDescent="0.35">
      <c r="A273" s="12">
        <v>272</v>
      </c>
      <c r="B273" s="13">
        <v>32704</v>
      </c>
      <c r="C273" s="21">
        <v>217050000400</v>
      </c>
      <c r="D273" s="14" t="s">
        <v>184</v>
      </c>
      <c r="E273" s="12" t="s">
        <v>100</v>
      </c>
      <c r="F273" s="12" t="s">
        <v>13</v>
      </c>
      <c r="G273" s="15" t="s">
        <v>14</v>
      </c>
      <c r="H273" s="16">
        <v>45115</v>
      </c>
      <c r="I273" s="15" t="s">
        <v>287</v>
      </c>
      <c r="J273" s="12">
        <v>1</v>
      </c>
      <c r="K273" s="18">
        <v>204</v>
      </c>
    </row>
    <row r="274" spans="1:11" ht="26" customHeight="1" x14ac:dyDescent="0.35">
      <c r="A274" s="12">
        <v>273</v>
      </c>
      <c r="B274" s="13">
        <v>32704</v>
      </c>
      <c r="C274" s="21">
        <v>217050000400</v>
      </c>
      <c r="D274" s="14" t="s">
        <v>184</v>
      </c>
      <c r="E274" s="12" t="s">
        <v>100</v>
      </c>
      <c r="F274" s="12" t="s">
        <v>13</v>
      </c>
      <c r="G274" s="15" t="s">
        <v>14</v>
      </c>
      <c r="H274" s="16">
        <v>45026</v>
      </c>
      <c r="I274" s="15" t="s">
        <v>288</v>
      </c>
      <c r="J274" s="12">
        <v>1</v>
      </c>
      <c r="K274" s="18" t="s">
        <v>58</v>
      </c>
    </row>
    <row r="275" spans="1:11" ht="26" customHeight="1" x14ac:dyDescent="0.35">
      <c r="A275" s="12">
        <v>274</v>
      </c>
      <c r="B275" s="13">
        <v>33235</v>
      </c>
      <c r="C275" s="21">
        <v>217614000201</v>
      </c>
      <c r="D275" s="14" t="s">
        <v>193</v>
      </c>
      <c r="E275" s="12" t="s">
        <v>12</v>
      </c>
      <c r="F275" s="12" t="s">
        <v>13</v>
      </c>
      <c r="G275" s="15" t="s">
        <v>14</v>
      </c>
      <c r="H275" s="16">
        <v>45106</v>
      </c>
      <c r="I275" s="15" t="s">
        <v>78</v>
      </c>
      <c r="J275" s="12">
        <v>1</v>
      </c>
      <c r="K275" s="18" t="s">
        <v>344</v>
      </c>
    </row>
    <row r="276" spans="1:11" ht="26" customHeight="1" x14ac:dyDescent="0.35">
      <c r="A276" s="12">
        <v>275</v>
      </c>
      <c r="B276" s="13">
        <v>33235</v>
      </c>
      <c r="C276" s="21">
        <v>217614000201</v>
      </c>
      <c r="D276" s="14" t="s">
        <v>193</v>
      </c>
      <c r="E276" s="12" t="s">
        <v>12</v>
      </c>
      <c r="F276" s="12" t="s">
        <v>13</v>
      </c>
      <c r="G276" s="15" t="s">
        <v>14</v>
      </c>
      <c r="H276" s="16">
        <v>45106</v>
      </c>
      <c r="I276" s="15" t="s">
        <v>78</v>
      </c>
      <c r="J276" s="12">
        <v>1</v>
      </c>
      <c r="K276" s="18" t="s">
        <v>345</v>
      </c>
    </row>
    <row r="277" spans="1:11" ht="26" customHeight="1" x14ac:dyDescent="0.35">
      <c r="A277" s="12">
        <v>276</v>
      </c>
      <c r="B277" s="13">
        <v>33235</v>
      </c>
      <c r="C277" s="21">
        <v>217614000201</v>
      </c>
      <c r="D277" s="14" t="s">
        <v>193</v>
      </c>
      <c r="E277" s="12" t="s">
        <v>12</v>
      </c>
      <c r="F277" s="12" t="s">
        <v>13</v>
      </c>
      <c r="G277" s="15" t="s">
        <v>14</v>
      </c>
      <c r="H277" s="16">
        <v>45120</v>
      </c>
      <c r="I277" s="15" t="s">
        <v>271</v>
      </c>
      <c r="J277" s="12">
        <v>1</v>
      </c>
      <c r="K277" s="18">
        <v>668</v>
      </c>
    </row>
    <row r="278" spans="1:11" ht="26" customHeight="1" x14ac:dyDescent="0.35">
      <c r="A278" s="12">
        <v>277</v>
      </c>
      <c r="B278" s="13">
        <v>33235</v>
      </c>
      <c r="C278" s="21">
        <v>217614000201</v>
      </c>
      <c r="D278" s="14" t="s">
        <v>193</v>
      </c>
      <c r="E278" s="12" t="s">
        <v>12</v>
      </c>
      <c r="F278" s="12" t="s">
        <v>13</v>
      </c>
      <c r="G278" s="15" t="s">
        <v>14</v>
      </c>
      <c r="H278" s="16">
        <v>45107</v>
      </c>
      <c r="I278" s="15" t="s">
        <v>76</v>
      </c>
      <c r="J278" s="12">
        <v>1</v>
      </c>
      <c r="K278" s="18" t="s">
        <v>346</v>
      </c>
    </row>
    <row r="279" spans="1:11" ht="26" customHeight="1" x14ac:dyDescent="0.35">
      <c r="A279" s="12">
        <v>278</v>
      </c>
      <c r="B279" s="13">
        <v>33235</v>
      </c>
      <c r="C279" s="21">
        <v>217614000201</v>
      </c>
      <c r="D279" s="14" t="s">
        <v>193</v>
      </c>
      <c r="E279" s="12" t="s">
        <v>12</v>
      </c>
      <c r="F279" s="12" t="s">
        <v>13</v>
      </c>
      <c r="G279" s="15" t="s">
        <v>14</v>
      </c>
      <c r="H279" s="16">
        <v>45099</v>
      </c>
      <c r="I279" s="15" t="s">
        <v>72</v>
      </c>
      <c r="J279" s="12">
        <v>1</v>
      </c>
      <c r="K279" s="18" t="s">
        <v>347</v>
      </c>
    </row>
    <row r="280" spans="1:11" ht="26" customHeight="1" x14ac:dyDescent="0.35">
      <c r="A280" s="12">
        <v>279</v>
      </c>
      <c r="B280" s="13">
        <v>33235</v>
      </c>
      <c r="C280" s="21">
        <v>217614000201</v>
      </c>
      <c r="D280" s="14" t="s">
        <v>193</v>
      </c>
      <c r="E280" s="12" t="s">
        <v>12</v>
      </c>
      <c r="F280" s="12" t="s">
        <v>13</v>
      </c>
      <c r="G280" s="15" t="s">
        <v>14</v>
      </c>
      <c r="H280" s="16">
        <v>45103</v>
      </c>
      <c r="I280" s="15" t="s">
        <v>74</v>
      </c>
      <c r="J280" s="12">
        <v>1</v>
      </c>
      <c r="K280" s="18" t="s">
        <v>348</v>
      </c>
    </row>
    <row r="281" spans="1:11" ht="26" customHeight="1" x14ac:dyDescent="0.35">
      <c r="A281" s="12">
        <v>280</v>
      </c>
      <c r="B281" s="13">
        <v>33235</v>
      </c>
      <c r="C281" s="21">
        <v>217614000201</v>
      </c>
      <c r="D281" s="14" t="s">
        <v>193</v>
      </c>
      <c r="E281" s="12" t="s">
        <v>12</v>
      </c>
      <c r="F281" s="12" t="s">
        <v>13</v>
      </c>
      <c r="G281" s="15" t="s">
        <v>14</v>
      </c>
      <c r="H281" s="16">
        <v>45105</v>
      </c>
      <c r="I281" s="15" t="s">
        <v>81</v>
      </c>
      <c r="J281" s="12">
        <v>2</v>
      </c>
      <c r="K281" s="18" t="s">
        <v>349</v>
      </c>
    </row>
    <row r="282" spans="1:11" ht="26" customHeight="1" x14ac:dyDescent="0.35">
      <c r="A282" s="12">
        <v>281</v>
      </c>
      <c r="B282" s="13">
        <v>33235</v>
      </c>
      <c r="C282" s="21">
        <v>217614000201</v>
      </c>
      <c r="D282" s="14" t="s">
        <v>193</v>
      </c>
      <c r="E282" s="12" t="s">
        <v>12</v>
      </c>
      <c r="F282" s="12" t="s">
        <v>13</v>
      </c>
      <c r="G282" s="15" t="s">
        <v>14</v>
      </c>
      <c r="H282" s="16">
        <v>45126</v>
      </c>
      <c r="I282" s="15" t="s">
        <v>277</v>
      </c>
      <c r="J282" s="12">
        <v>1</v>
      </c>
      <c r="K282" s="18">
        <v>2603035059</v>
      </c>
    </row>
    <row r="283" spans="1:11" ht="26" customHeight="1" x14ac:dyDescent="0.35">
      <c r="A283" s="12">
        <v>282</v>
      </c>
      <c r="B283" s="13">
        <v>33235</v>
      </c>
      <c r="C283" s="21">
        <v>217614000201</v>
      </c>
      <c r="D283" s="14" t="s">
        <v>193</v>
      </c>
      <c r="E283" s="12" t="s">
        <v>12</v>
      </c>
      <c r="F283" s="12" t="s">
        <v>13</v>
      </c>
      <c r="G283" s="15" t="s">
        <v>14</v>
      </c>
      <c r="H283" s="16">
        <v>45112</v>
      </c>
      <c r="I283" s="15" t="s">
        <v>278</v>
      </c>
      <c r="J283" s="12">
        <v>1</v>
      </c>
      <c r="K283" s="18" t="s">
        <v>350</v>
      </c>
    </row>
    <row r="284" spans="1:11" ht="26" customHeight="1" x14ac:dyDescent="0.35">
      <c r="A284" s="12">
        <v>283</v>
      </c>
      <c r="B284" s="13">
        <v>33235</v>
      </c>
      <c r="C284" s="21">
        <v>217614000201</v>
      </c>
      <c r="D284" s="14" t="s">
        <v>193</v>
      </c>
      <c r="E284" s="12" t="s">
        <v>12</v>
      </c>
      <c r="F284" s="12" t="s">
        <v>13</v>
      </c>
      <c r="G284" s="15" t="s">
        <v>14</v>
      </c>
      <c r="H284" s="16">
        <v>45119</v>
      </c>
      <c r="I284" s="15" t="s">
        <v>280</v>
      </c>
      <c r="J284" s="12">
        <v>1</v>
      </c>
      <c r="K284" s="18">
        <v>616</v>
      </c>
    </row>
    <row r="285" spans="1:11" ht="26" customHeight="1" x14ac:dyDescent="0.35">
      <c r="A285" s="12">
        <v>284</v>
      </c>
      <c r="B285" s="13">
        <v>33235</v>
      </c>
      <c r="C285" s="21">
        <v>217614000201</v>
      </c>
      <c r="D285" s="14" t="s">
        <v>193</v>
      </c>
      <c r="E285" s="12" t="s">
        <v>12</v>
      </c>
      <c r="F285" s="12" t="s">
        <v>13</v>
      </c>
      <c r="G285" s="15" t="s">
        <v>14</v>
      </c>
      <c r="H285" s="16">
        <v>45104</v>
      </c>
      <c r="I285" s="15" t="s">
        <v>281</v>
      </c>
      <c r="J285" s="12">
        <v>1</v>
      </c>
      <c r="K285" s="18" t="s">
        <v>351</v>
      </c>
    </row>
    <row r="286" spans="1:11" ht="26" customHeight="1" x14ac:dyDescent="0.35">
      <c r="A286" s="12">
        <v>285</v>
      </c>
      <c r="B286" s="13">
        <v>33235</v>
      </c>
      <c r="C286" s="21">
        <v>217614000201</v>
      </c>
      <c r="D286" s="14" t="s">
        <v>193</v>
      </c>
      <c r="E286" s="12" t="s">
        <v>12</v>
      </c>
      <c r="F286" s="12" t="s">
        <v>13</v>
      </c>
      <c r="G286" s="15" t="s">
        <v>14</v>
      </c>
      <c r="H286" s="16">
        <v>45110</v>
      </c>
      <c r="I286" s="15" t="s">
        <v>283</v>
      </c>
      <c r="J286" s="12">
        <v>1</v>
      </c>
      <c r="K286" s="18" t="s">
        <v>352</v>
      </c>
    </row>
    <row r="287" spans="1:11" ht="26" customHeight="1" x14ac:dyDescent="0.35">
      <c r="A287" s="12">
        <v>286</v>
      </c>
      <c r="B287" s="13">
        <v>33235</v>
      </c>
      <c r="C287" s="21">
        <v>217614000201</v>
      </c>
      <c r="D287" s="14" t="s">
        <v>193</v>
      </c>
      <c r="E287" s="12" t="s">
        <v>12</v>
      </c>
      <c r="F287" s="12" t="s">
        <v>13</v>
      </c>
      <c r="G287" s="15" t="s">
        <v>14</v>
      </c>
      <c r="H287" s="16">
        <v>45109</v>
      </c>
      <c r="I287" s="15" t="s">
        <v>285</v>
      </c>
      <c r="J287" s="12">
        <v>1</v>
      </c>
      <c r="K287" s="18" t="s">
        <v>353</v>
      </c>
    </row>
    <row r="288" spans="1:11" ht="26" customHeight="1" x14ac:dyDescent="0.35">
      <c r="A288" s="12">
        <v>287</v>
      </c>
      <c r="B288" s="13">
        <v>33235</v>
      </c>
      <c r="C288" s="21">
        <v>217614000201</v>
      </c>
      <c r="D288" s="14" t="s">
        <v>193</v>
      </c>
      <c r="E288" s="12" t="s">
        <v>12</v>
      </c>
      <c r="F288" s="12" t="s">
        <v>13</v>
      </c>
      <c r="G288" s="15" t="s">
        <v>14</v>
      </c>
      <c r="H288" s="16">
        <v>45115</v>
      </c>
      <c r="I288" s="15" t="s">
        <v>287</v>
      </c>
      <c r="J288" s="12">
        <v>1</v>
      </c>
      <c r="K288" s="18">
        <v>230</v>
      </c>
    </row>
    <row r="289" spans="1:11" ht="26" customHeight="1" x14ac:dyDescent="0.35">
      <c r="A289" s="12">
        <v>288</v>
      </c>
      <c r="B289" s="13">
        <v>33290</v>
      </c>
      <c r="C289" s="21">
        <v>217616000259</v>
      </c>
      <c r="D289" s="14" t="s">
        <v>200</v>
      </c>
      <c r="E289" s="12" t="s">
        <v>201</v>
      </c>
      <c r="F289" s="12" t="s">
        <v>13</v>
      </c>
      <c r="G289" s="15" t="s">
        <v>14</v>
      </c>
      <c r="H289" s="16">
        <v>45106</v>
      </c>
      <c r="I289" s="15" t="s">
        <v>78</v>
      </c>
      <c r="J289" s="12">
        <v>1</v>
      </c>
      <c r="K289" s="18" t="s">
        <v>354</v>
      </c>
    </row>
    <row r="290" spans="1:11" ht="26" customHeight="1" x14ac:dyDescent="0.35">
      <c r="A290" s="12">
        <v>289</v>
      </c>
      <c r="B290" s="13">
        <v>33290</v>
      </c>
      <c r="C290" s="21">
        <v>217616000259</v>
      </c>
      <c r="D290" s="14" t="s">
        <v>200</v>
      </c>
      <c r="E290" s="12" t="s">
        <v>201</v>
      </c>
      <c r="F290" s="12" t="s">
        <v>13</v>
      </c>
      <c r="G290" s="15" t="s">
        <v>14</v>
      </c>
      <c r="H290" s="16">
        <v>45106</v>
      </c>
      <c r="I290" s="15" t="s">
        <v>78</v>
      </c>
      <c r="J290" s="12">
        <v>1</v>
      </c>
      <c r="K290" s="18" t="s">
        <v>355</v>
      </c>
    </row>
    <row r="291" spans="1:11" ht="26" customHeight="1" x14ac:dyDescent="0.35">
      <c r="A291" s="12">
        <v>290</v>
      </c>
      <c r="B291" s="13">
        <v>33290</v>
      </c>
      <c r="C291" s="21">
        <v>217616000259</v>
      </c>
      <c r="D291" s="14" t="s">
        <v>200</v>
      </c>
      <c r="E291" s="12" t="s">
        <v>201</v>
      </c>
      <c r="F291" s="12" t="s">
        <v>13</v>
      </c>
      <c r="G291" s="15" t="s">
        <v>14</v>
      </c>
      <c r="H291" s="16">
        <v>45120</v>
      </c>
      <c r="I291" s="15" t="s">
        <v>271</v>
      </c>
      <c r="J291" s="12">
        <v>1</v>
      </c>
      <c r="K291" s="18">
        <v>671</v>
      </c>
    </row>
    <row r="292" spans="1:11" ht="26" customHeight="1" x14ac:dyDescent="0.35">
      <c r="A292" s="12">
        <v>291</v>
      </c>
      <c r="B292" s="13">
        <v>33290</v>
      </c>
      <c r="C292" s="21">
        <v>217616000259</v>
      </c>
      <c r="D292" s="14" t="s">
        <v>200</v>
      </c>
      <c r="E292" s="12" t="s">
        <v>201</v>
      </c>
      <c r="F292" s="12" t="s">
        <v>13</v>
      </c>
      <c r="G292" s="15" t="s">
        <v>14</v>
      </c>
      <c r="H292" s="16">
        <v>45107</v>
      </c>
      <c r="I292" s="15" t="s">
        <v>76</v>
      </c>
      <c r="J292" s="12">
        <v>1</v>
      </c>
      <c r="K292" s="18" t="s">
        <v>356</v>
      </c>
    </row>
    <row r="293" spans="1:11" ht="26" customHeight="1" x14ac:dyDescent="0.35">
      <c r="A293" s="12">
        <v>292</v>
      </c>
      <c r="B293" s="13">
        <v>33290</v>
      </c>
      <c r="C293" s="21">
        <v>217616000259</v>
      </c>
      <c r="D293" s="14" t="s">
        <v>200</v>
      </c>
      <c r="E293" s="12" t="s">
        <v>201</v>
      </c>
      <c r="F293" s="12" t="s">
        <v>13</v>
      </c>
      <c r="G293" s="15" t="s">
        <v>14</v>
      </c>
      <c r="H293" s="16">
        <v>45099</v>
      </c>
      <c r="I293" s="15" t="s">
        <v>72</v>
      </c>
      <c r="J293" s="12">
        <v>1</v>
      </c>
      <c r="K293" s="18" t="s">
        <v>357</v>
      </c>
    </row>
    <row r="294" spans="1:11" ht="26" customHeight="1" x14ac:dyDescent="0.35">
      <c r="A294" s="12">
        <v>293</v>
      </c>
      <c r="B294" s="13">
        <v>33290</v>
      </c>
      <c r="C294" s="21">
        <v>217616000259</v>
      </c>
      <c r="D294" s="14" t="s">
        <v>200</v>
      </c>
      <c r="E294" s="12" t="s">
        <v>201</v>
      </c>
      <c r="F294" s="12" t="s">
        <v>13</v>
      </c>
      <c r="G294" s="15" t="s">
        <v>14</v>
      </c>
      <c r="H294" s="16">
        <v>45103</v>
      </c>
      <c r="I294" s="15" t="s">
        <v>74</v>
      </c>
      <c r="J294" s="12">
        <v>1</v>
      </c>
      <c r="K294" s="18" t="s">
        <v>358</v>
      </c>
    </row>
    <row r="295" spans="1:11" ht="26" customHeight="1" x14ac:dyDescent="0.35">
      <c r="A295" s="12">
        <v>294</v>
      </c>
      <c r="B295" s="13">
        <v>33290</v>
      </c>
      <c r="C295" s="21">
        <v>217616000259</v>
      </c>
      <c r="D295" s="14" t="s">
        <v>200</v>
      </c>
      <c r="E295" s="12" t="s">
        <v>201</v>
      </c>
      <c r="F295" s="12" t="s">
        <v>13</v>
      </c>
      <c r="G295" s="15" t="s">
        <v>14</v>
      </c>
      <c r="H295" s="16">
        <v>45105</v>
      </c>
      <c r="I295" s="15" t="s">
        <v>81</v>
      </c>
      <c r="J295" s="12">
        <v>2</v>
      </c>
      <c r="K295" s="18" t="s">
        <v>359</v>
      </c>
    </row>
    <row r="296" spans="1:11" ht="26" customHeight="1" x14ac:dyDescent="0.35">
      <c r="A296" s="12">
        <v>295</v>
      </c>
      <c r="B296" s="13">
        <v>33290</v>
      </c>
      <c r="C296" s="21">
        <v>217616000259</v>
      </c>
      <c r="D296" s="14" t="s">
        <v>200</v>
      </c>
      <c r="E296" s="12" t="s">
        <v>201</v>
      </c>
      <c r="F296" s="12" t="s">
        <v>13</v>
      </c>
      <c r="G296" s="15" t="s">
        <v>14</v>
      </c>
      <c r="H296" s="16">
        <v>45111</v>
      </c>
      <c r="I296" s="15" t="s">
        <v>142</v>
      </c>
      <c r="J296" s="12">
        <v>1</v>
      </c>
      <c r="K296" s="18" t="s">
        <v>360</v>
      </c>
    </row>
    <row r="297" spans="1:11" ht="26" customHeight="1" x14ac:dyDescent="0.35">
      <c r="A297" s="12">
        <v>296</v>
      </c>
      <c r="B297" s="13">
        <v>33290</v>
      </c>
      <c r="C297" s="21">
        <v>217616000259</v>
      </c>
      <c r="D297" s="14" t="s">
        <v>200</v>
      </c>
      <c r="E297" s="12" t="s">
        <v>201</v>
      </c>
      <c r="F297" s="12" t="s">
        <v>13</v>
      </c>
      <c r="G297" s="15" t="s">
        <v>14</v>
      </c>
      <c r="H297" s="16">
        <v>45126</v>
      </c>
      <c r="I297" s="15" t="s">
        <v>277</v>
      </c>
      <c r="J297" s="12">
        <v>1</v>
      </c>
      <c r="K297" s="18">
        <v>2603035158</v>
      </c>
    </row>
    <row r="298" spans="1:11" ht="26" customHeight="1" x14ac:dyDescent="0.35">
      <c r="A298" s="12">
        <v>297</v>
      </c>
      <c r="B298" s="13">
        <v>33290</v>
      </c>
      <c r="C298" s="21">
        <v>217616000259</v>
      </c>
      <c r="D298" s="14" t="s">
        <v>200</v>
      </c>
      <c r="E298" s="12" t="s">
        <v>201</v>
      </c>
      <c r="F298" s="12" t="s">
        <v>13</v>
      </c>
      <c r="G298" s="15" t="s">
        <v>14</v>
      </c>
      <c r="H298" s="16">
        <v>45112</v>
      </c>
      <c r="I298" s="15" t="s">
        <v>278</v>
      </c>
      <c r="J298" s="12">
        <v>1</v>
      </c>
      <c r="K298" s="18" t="s">
        <v>361</v>
      </c>
    </row>
    <row r="299" spans="1:11" ht="26" customHeight="1" x14ac:dyDescent="0.35">
      <c r="A299" s="12">
        <v>298</v>
      </c>
      <c r="B299" s="13">
        <v>33290</v>
      </c>
      <c r="C299" s="21">
        <v>217616000259</v>
      </c>
      <c r="D299" s="14" t="s">
        <v>200</v>
      </c>
      <c r="E299" s="12" t="s">
        <v>201</v>
      </c>
      <c r="F299" s="12" t="s">
        <v>13</v>
      </c>
      <c r="G299" s="15" t="s">
        <v>14</v>
      </c>
      <c r="H299" s="16">
        <v>45119</v>
      </c>
      <c r="I299" s="15" t="s">
        <v>280</v>
      </c>
      <c r="J299" s="12">
        <v>1</v>
      </c>
      <c r="K299" s="18">
        <v>617</v>
      </c>
    </row>
    <row r="300" spans="1:11" ht="26" customHeight="1" x14ac:dyDescent="0.35">
      <c r="A300" s="12">
        <v>299</v>
      </c>
      <c r="B300" s="13">
        <v>33290</v>
      </c>
      <c r="C300" s="21">
        <v>217616000259</v>
      </c>
      <c r="D300" s="14" t="s">
        <v>200</v>
      </c>
      <c r="E300" s="12" t="s">
        <v>201</v>
      </c>
      <c r="F300" s="12" t="s">
        <v>13</v>
      </c>
      <c r="G300" s="15" t="s">
        <v>14</v>
      </c>
      <c r="H300" s="16">
        <v>45104</v>
      </c>
      <c r="I300" s="15" t="s">
        <v>281</v>
      </c>
      <c r="J300" s="12">
        <v>1</v>
      </c>
      <c r="K300" s="18" t="s">
        <v>362</v>
      </c>
    </row>
    <row r="301" spans="1:11" ht="26" customHeight="1" x14ac:dyDescent="0.35">
      <c r="A301" s="12">
        <v>300</v>
      </c>
      <c r="B301" s="13">
        <v>33290</v>
      </c>
      <c r="C301" s="21">
        <v>217616000259</v>
      </c>
      <c r="D301" s="14" t="s">
        <v>200</v>
      </c>
      <c r="E301" s="12" t="s">
        <v>201</v>
      </c>
      <c r="F301" s="12" t="s">
        <v>13</v>
      </c>
      <c r="G301" s="15" t="s">
        <v>14</v>
      </c>
      <c r="H301" s="16">
        <v>45110</v>
      </c>
      <c r="I301" s="15" t="s">
        <v>283</v>
      </c>
      <c r="J301" s="12">
        <v>1</v>
      </c>
      <c r="K301" s="18" t="s">
        <v>363</v>
      </c>
    </row>
    <row r="302" spans="1:11" ht="26" customHeight="1" x14ac:dyDescent="0.35">
      <c r="A302" s="12">
        <v>301</v>
      </c>
      <c r="B302" s="13">
        <v>33290</v>
      </c>
      <c r="C302" s="21">
        <v>217616000259</v>
      </c>
      <c r="D302" s="14" t="s">
        <v>200</v>
      </c>
      <c r="E302" s="12" t="s">
        <v>201</v>
      </c>
      <c r="F302" s="12" t="s">
        <v>13</v>
      </c>
      <c r="G302" s="15" t="s">
        <v>14</v>
      </c>
      <c r="H302" s="16">
        <v>45109</v>
      </c>
      <c r="I302" s="15" t="s">
        <v>285</v>
      </c>
      <c r="J302" s="12">
        <v>1</v>
      </c>
      <c r="K302" s="18" t="s">
        <v>364</v>
      </c>
    </row>
    <row r="303" spans="1:11" ht="26" customHeight="1" x14ac:dyDescent="0.35">
      <c r="A303" s="12">
        <v>302</v>
      </c>
      <c r="B303" s="13">
        <v>33290</v>
      </c>
      <c r="C303" s="21">
        <v>217616000259</v>
      </c>
      <c r="D303" s="14" t="s">
        <v>200</v>
      </c>
      <c r="E303" s="12" t="s">
        <v>201</v>
      </c>
      <c r="F303" s="12" t="s">
        <v>13</v>
      </c>
      <c r="G303" s="15" t="s">
        <v>14</v>
      </c>
      <c r="H303" s="16">
        <v>45115</v>
      </c>
      <c r="I303" s="15" t="s">
        <v>287</v>
      </c>
      <c r="J303" s="12">
        <v>1</v>
      </c>
      <c r="K303" s="18">
        <v>227</v>
      </c>
    </row>
    <row r="304" spans="1:11" ht="26" customHeight="1" x14ac:dyDescent="0.35">
      <c r="A304" s="12">
        <v>303</v>
      </c>
      <c r="B304" s="13">
        <v>33290</v>
      </c>
      <c r="C304" s="21">
        <v>217616000259</v>
      </c>
      <c r="D304" s="14" t="s">
        <v>200</v>
      </c>
      <c r="E304" s="12" t="s">
        <v>201</v>
      </c>
      <c r="F304" s="12" t="s">
        <v>13</v>
      </c>
      <c r="G304" s="15" t="s">
        <v>14</v>
      </c>
      <c r="H304" s="16">
        <v>45026</v>
      </c>
      <c r="I304" s="15" t="s">
        <v>288</v>
      </c>
      <c r="J304" s="12">
        <v>1</v>
      </c>
      <c r="K304" s="18" t="s">
        <v>58</v>
      </c>
    </row>
    <row r="305" spans="1:11" ht="26" customHeight="1" x14ac:dyDescent="0.35">
      <c r="A305" s="12">
        <v>304</v>
      </c>
      <c r="B305" s="13">
        <v>84728</v>
      </c>
      <c r="C305" s="21">
        <v>117614000711</v>
      </c>
      <c r="D305" s="14" t="s">
        <v>245</v>
      </c>
      <c r="E305" s="12" t="s">
        <v>12</v>
      </c>
      <c r="F305" s="12" t="s">
        <v>13</v>
      </c>
      <c r="G305" s="15" t="s">
        <v>14</v>
      </c>
      <c r="H305" s="16">
        <v>45106</v>
      </c>
      <c r="I305" s="15" t="s">
        <v>78</v>
      </c>
      <c r="J305" s="12">
        <v>1</v>
      </c>
      <c r="K305" s="18" t="s">
        <v>365</v>
      </c>
    </row>
    <row r="306" spans="1:11" ht="26" customHeight="1" x14ac:dyDescent="0.35">
      <c r="A306" s="12">
        <v>305</v>
      </c>
      <c r="B306" s="13">
        <v>84728</v>
      </c>
      <c r="C306" s="21">
        <v>117614000711</v>
      </c>
      <c r="D306" s="14" t="s">
        <v>245</v>
      </c>
      <c r="E306" s="12" t="s">
        <v>12</v>
      </c>
      <c r="F306" s="12" t="s">
        <v>13</v>
      </c>
      <c r="G306" s="15" t="s">
        <v>14</v>
      </c>
      <c r="H306" s="16">
        <v>45106</v>
      </c>
      <c r="I306" s="15" t="s">
        <v>78</v>
      </c>
      <c r="J306" s="12">
        <v>1</v>
      </c>
      <c r="K306" s="18" t="s">
        <v>366</v>
      </c>
    </row>
    <row r="307" spans="1:11" ht="26" customHeight="1" x14ac:dyDescent="0.35">
      <c r="A307" s="12">
        <v>306</v>
      </c>
      <c r="B307" s="13">
        <v>84728</v>
      </c>
      <c r="C307" s="21">
        <v>117614000711</v>
      </c>
      <c r="D307" s="14" t="s">
        <v>245</v>
      </c>
      <c r="E307" s="12" t="s">
        <v>12</v>
      </c>
      <c r="F307" s="12" t="s">
        <v>13</v>
      </c>
      <c r="G307" s="15" t="s">
        <v>14</v>
      </c>
      <c r="H307" s="16">
        <v>45120</v>
      </c>
      <c r="I307" s="15" t="s">
        <v>271</v>
      </c>
      <c r="J307" s="12">
        <v>1</v>
      </c>
      <c r="K307" s="18">
        <v>667</v>
      </c>
    </row>
    <row r="308" spans="1:11" ht="26" customHeight="1" x14ac:dyDescent="0.35">
      <c r="A308" s="12">
        <v>307</v>
      </c>
      <c r="B308" s="13">
        <v>84728</v>
      </c>
      <c r="C308" s="21">
        <v>117614000711</v>
      </c>
      <c r="D308" s="14" t="s">
        <v>245</v>
      </c>
      <c r="E308" s="12" t="s">
        <v>12</v>
      </c>
      <c r="F308" s="12" t="s">
        <v>13</v>
      </c>
      <c r="G308" s="15" t="s">
        <v>14</v>
      </c>
      <c r="H308" s="16">
        <v>45107</v>
      </c>
      <c r="I308" s="15" t="s">
        <v>76</v>
      </c>
      <c r="J308" s="12">
        <v>1</v>
      </c>
      <c r="K308" s="18" t="s">
        <v>367</v>
      </c>
    </row>
    <row r="309" spans="1:11" ht="26" customHeight="1" x14ac:dyDescent="0.35">
      <c r="A309" s="12">
        <v>308</v>
      </c>
      <c r="B309" s="13">
        <v>84728</v>
      </c>
      <c r="C309" s="21">
        <v>117614000711</v>
      </c>
      <c r="D309" s="14" t="s">
        <v>245</v>
      </c>
      <c r="E309" s="12" t="s">
        <v>12</v>
      </c>
      <c r="F309" s="12" t="s">
        <v>13</v>
      </c>
      <c r="G309" s="15" t="s">
        <v>14</v>
      </c>
      <c r="H309" s="16">
        <v>45099</v>
      </c>
      <c r="I309" s="15" t="s">
        <v>72</v>
      </c>
      <c r="J309" s="12">
        <v>1</v>
      </c>
      <c r="K309" s="18" t="s">
        <v>368</v>
      </c>
    </row>
    <row r="310" spans="1:11" ht="26" customHeight="1" x14ac:dyDescent="0.35">
      <c r="A310" s="12">
        <v>309</v>
      </c>
      <c r="B310" s="13">
        <v>84728</v>
      </c>
      <c r="C310" s="21">
        <v>117614000711</v>
      </c>
      <c r="D310" s="14" t="s">
        <v>245</v>
      </c>
      <c r="E310" s="12" t="s">
        <v>12</v>
      </c>
      <c r="F310" s="12" t="s">
        <v>13</v>
      </c>
      <c r="G310" s="15" t="s">
        <v>14</v>
      </c>
      <c r="H310" s="16">
        <v>45103</v>
      </c>
      <c r="I310" s="15" t="s">
        <v>74</v>
      </c>
      <c r="J310" s="12">
        <v>1</v>
      </c>
      <c r="K310" s="18" t="s">
        <v>369</v>
      </c>
    </row>
    <row r="311" spans="1:11" ht="26" customHeight="1" x14ac:dyDescent="0.35">
      <c r="A311" s="12">
        <v>310</v>
      </c>
      <c r="B311" s="13">
        <v>84728</v>
      </c>
      <c r="C311" s="21">
        <v>117614000711</v>
      </c>
      <c r="D311" s="14" t="s">
        <v>245</v>
      </c>
      <c r="E311" s="12" t="s">
        <v>12</v>
      </c>
      <c r="F311" s="12" t="s">
        <v>13</v>
      </c>
      <c r="G311" s="15" t="s">
        <v>14</v>
      </c>
      <c r="H311" s="16">
        <v>45105</v>
      </c>
      <c r="I311" s="15" t="s">
        <v>81</v>
      </c>
      <c r="J311" s="12">
        <v>2</v>
      </c>
      <c r="K311" s="18" t="s">
        <v>370</v>
      </c>
    </row>
    <row r="312" spans="1:11" ht="26" customHeight="1" x14ac:dyDescent="0.35">
      <c r="A312" s="12">
        <v>311</v>
      </c>
      <c r="B312" s="13">
        <v>84728</v>
      </c>
      <c r="C312" s="21">
        <v>117614000711</v>
      </c>
      <c r="D312" s="14" t="s">
        <v>245</v>
      </c>
      <c r="E312" s="12" t="s">
        <v>12</v>
      </c>
      <c r="F312" s="12" t="s">
        <v>13</v>
      </c>
      <c r="G312" s="15" t="s">
        <v>14</v>
      </c>
      <c r="H312" s="16">
        <v>45111</v>
      </c>
      <c r="I312" s="15" t="s">
        <v>142</v>
      </c>
      <c r="J312" s="12">
        <v>1</v>
      </c>
      <c r="K312" s="18" t="s">
        <v>371</v>
      </c>
    </row>
    <row r="313" spans="1:11" ht="26" customHeight="1" x14ac:dyDescent="0.35">
      <c r="A313" s="12">
        <v>312</v>
      </c>
      <c r="B313" s="13">
        <v>84728</v>
      </c>
      <c r="C313" s="21">
        <v>117614000711</v>
      </c>
      <c r="D313" s="14" t="s">
        <v>245</v>
      </c>
      <c r="E313" s="12" t="s">
        <v>12</v>
      </c>
      <c r="F313" s="12" t="s">
        <v>13</v>
      </c>
      <c r="G313" s="15" t="s">
        <v>14</v>
      </c>
      <c r="H313" s="16">
        <v>45126</v>
      </c>
      <c r="I313" s="15" t="s">
        <v>277</v>
      </c>
      <c r="J313" s="12">
        <v>1</v>
      </c>
      <c r="K313" s="18">
        <v>2603035370</v>
      </c>
    </row>
    <row r="314" spans="1:11" ht="26" customHeight="1" x14ac:dyDescent="0.35">
      <c r="A314" s="12">
        <v>313</v>
      </c>
      <c r="B314" s="13">
        <v>84728</v>
      </c>
      <c r="C314" s="21">
        <v>117614000711</v>
      </c>
      <c r="D314" s="14" t="s">
        <v>245</v>
      </c>
      <c r="E314" s="12" t="s">
        <v>12</v>
      </c>
      <c r="F314" s="12" t="s">
        <v>13</v>
      </c>
      <c r="G314" s="15" t="s">
        <v>14</v>
      </c>
      <c r="H314" s="16">
        <v>45112</v>
      </c>
      <c r="I314" s="15" t="s">
        <v>278</v>
      </c>
      <c r="J314" s="12">
        <v>1</v>
      </c>
      <c r="K314" s="18" t="s">
        <v>372</v>
      </c>
    </row>
    <row r="315" spans="1:11" ht="26" customHeight="1" x14ac:dyDescent="0.35">
      <c r="A315" s="12">
        <v>314</v>
      </c>
      <c r="B315" s="13">
        <v>84728</v>
      </c>
      <c r="C315" s="21">
        <v>117614000711</v>
      </c>
      <c r="D315" s="14" t="s">
        <v>245</v>
      </c>
      <c r="E315" s="12" t="s">
        <v>12</v>
      </c>
      <c r="F315" s="12" t="s">
        <v>13</v>
      </c>
      <c r="G315" s="15" t="s">
        <v>14</v>
      </c>
      <c r="H315" s="16">
        <v>45119</v>
      </c>
      <c r="I315" s="15" t="s">
        <v>280</v>
      </c>
      <c r="J315" s="12">
        <v>1</v>
      </c>
      <c r="K315" s="18">
        <v>615</v>
      </c>
    </row>
    <row r="316" spans="1:11" ht="26" customHeight="1" x14ac:dyDescent="0.35">
      <c r="A316" s="12">
        <v>315</v>
      </c>
      <c r="B316" s="13">
        <v>84728</v>
      </c>
      <c r="C316" s="21">
        <v>117614000711</v>
      </c>
      <c r="D316" s="14" t="s">
        <v>245</v>
      </c>
      <c r="E316" s="12" t="s">
        <v>12</v>
      </c>
      <c r="F316" s="12" t="s">
        <v>13</v>
      </c>
      <c r="G316" s="15" t="s">
        <v>14</v>
      </c>
      <c r="H316" s="16">
        <v>45104</v>
      </c>
      <c r="I316" s="15" t="s">
        <v>281</v>
      </c>
      <c r="J316" s="12">
        <v>1</v>
      </c>
      <c r="K316" s="18" t="s">
        <v>373</v>
      </c>
    </row>
    <row r="317" spans="1:11" ht="26" customHeight="1" x14ac:dyDescent="0.35">
      <c r="A317" s="12">
        <v>316</v>
      </c>
      <c r="B317" s="13">
        <v>84728</v>
      </c>
      <c r="C317" s="21">
        <v>117614000711</v>
      </c>
      <c r="D317" s="14" t="s">
        <v>245</v>
      </c>
      <c r="E317" s="12" t="s">
        <v>12</v>
      </c>
      <c r="F317" s="12" t="s">
        <v>13</v>
      </c>
      <c r="G317" s="15" t="s">
        <v>14</v>
      </c>
      <c r="H317" s="16">
        <v>45110</v>
      </c>
      <c r="I317" s="15" t="s">
        <v>283</v>
      </c>
      <c r="J317" s="12">
        <v>1</v>
      </c>
      <c r="K317" s="18" t="s">
        <v>374</v>
      </c>
    </row>
    <row r="318" spans="1:11" ht="26" customHeight="1" x14ac:dyDescent="0.35">
      <c r="A318" s="12">
        <v>317</v>
      </c>
      <c r="B318" s="13">
        <v>84728</v>
      </c>
      <c r="C318" s="21">
        <v>117614000711</v>
      </c>
      <c r="D318" s="14" t="s">
        <v>245</v>
      </c>
      <c r="E318" s="12" t="s">
        <v>12</v>
      </c>
      <c r="F318" s="12" t="s">
        <v>13</v>
      </c>
      <c r="G318" s="15" t="s">
        <v>14</v>
      </c>
      <c r="H318" s="16">
        <v>45109</v>
      </c>
      <c r="I318" s="15" t="s">
        <v>285</v>
      </c>
      <c r="J318" s="12">
        <v>1</v>
      </c>
      <c r="K318" s="18" t="s">
        <v>375</v>
      </c>
    </row>
    <row r="319" spans="1:11" ht="26" customHeight="1" x14ac:dyDescent="0.35">
      <c r="A319" s="12">
        <v>318</v>
      </c>
      <c r="B319" s="13">
        <v>84728</v>
      </c>
      <c r="C319" s="21">
        <v>117614000711</v>
      </c>
      <c r="D319" s="14" t="s">
        <v>245</v>
      </c>
      <c r="E319" s="12" t="s">
        <v>12</v>
      </c>
      <c r="F319" s="12" t="s">
        <v>13</v>
      </c>
      <c r="G319" s="15" t="s">
        <v>14</v>
      </c>
      <c r="H319" s="16">
        <v>45115</v>
      </c>
      <c r="I319" s="15" t="s">
        <v>287</v>
      </c>
      <c r="J319" s="12">
        <v>1</v>
      </c>
      <c r="K319" s="18">
        <v>229</v>
      </c>
    </row>
    <row r="320" spans="1:11" ht="26" customHeight="1" x14ac:dyDescent="0.35">
      <c r="A320" s="12">
        <v>319</v>
      </c>
      <c r="B320" s="13">
        <v>84728</v>
      </c>
      <c r="C320" s="21">
        <v>117614000711</v>
      </c>
      <c r="D320" s="14" t="s">
        <v>245</v>
      </c>
      <c r="E320" s="12" t="s">
        <v>12</v>
      </c>
      <c r="F320" s="12" t="s">
        <v>13</v>
      </c>
      <c r="G320" s="15" t="s">
        <v>14</v>
      </c>
      <c r="H320" s="16">
        <v>45026</v>
      </c>
      <c r="I320" s="15" t="s">
        <v>288</v>
      </c>
      <c r="J320" s="12">
        <v>1</v>
      </c>
      <c r="K320" s="18" t="s">
        <v>58</v>
      </c>
    </row>
    <row r="321" spans="1:11" ht="26" customHeight="1" x14ac:dyDescent="0.35">
      <c r="A321" s="12">
        <v>320</v>
      </c>
      <c r="B321" s="13">
        <v>21329</v>
      </c>
      <c r="C321" s="21">
        <v>117653000663</v>
      </c>
      <c r="D321" s="14" t="s">
        <v>376</v>
      </c>
      <c r="E321" s="12" t="s">
        <v>377</v>
      </c>
      <c r="F321" s="12" t="s">
        <v>13</v>
      </c>
      <c r="G321" s="15" t="s">
        <v>14</v>
      </c>
      <c r="H321" s="16">
        <v>45106</v>
      </c>
      <c r="I321" s="15" t="s">
        <v>78</v>
      </c>
      <c r="J321" s="12">
        <v>1</v>
      </c>
      <c r="K321" s="18" t="s">
        <v>378</v>
      </c>
    </row>
    <row r="322" spans="1:11" ht="26" customHeight="1" x14ac:dyDescent="0.35">
      <c r="A322" s="12">
        <v>321</v>
      </c>
      <c r="B322" s="13">
        <v>21329</v>
      </c>
      <c r="C322" s="21">
        <v>117653000663</v>
      </c>
      <c r="D322" s="14" t="s">
        <v>376</v>
      </c>
      <c r="E322" s="12" t="s">
        <v>377</v>
      </c>
      <c r="F322" s="12" t="s">
        <v>13</v>
      </c>
      <c r="G322" s="15" t="s">
        <v>14</v>
      </c>
      <c r="H322" s="16">
        <v>45106</v>
      </c>
      <c r="I322" s="15" t="s">
        <v>78</v>
      </c>
      <c r="J322" s="12">
        <v>1</v>
      </c>
      <c r="K322" s="18" t="s">
        <v>379</v>
      </c>
    </row>
    <row r="323" spans="1:11" ht="26" customHeight="1" x14ac:dyDescent="0.35">
      <c r="A323" s="12">
        <v>322</v>
      </c>
      <c r="B323" s="13">
        <v>21329</v>
      </c>
      <c r="C323" s="21">
        <v>117653000663</v>
      </c>
      <c r="D323" s="14" t="s">
        <v>376</v>
      </c>
      <c r="E323" s="12" t="s">
        <v>377</v>
      </c>
      <c r="F323" s="12" t="s">
        <v>13</v>
      </c>
      <c r="G323" s="15" t="s">
        <v>14</v>
      </c>
      <c r="H323" s="16">
        <v>45120</v>
      </c>
      <c r="I323" s="15" t="s">
        <v>271</v>
      </c>
      <c r="J323" s="12">
        <v>1</v>
      </c>
      <c r="K323" s="18">
        <v>670</v>
      </c>
    </row>
    <row r="324" spans="1:11" ht="26" customHeight="1" x14ac:dyDescent="0.35">
      <c r="A324" s="12">
        <v>323</v>
      </c>
      <c r="B324" s="13">
        <v>21329</v>
      </c>
      <c r="C324" s="21">
        <v>117653000663</v>
      </c>
      <c r="D324" s="14" t="s">
        <v>376</v>
      </c>
      <c r="E324" s="12" t="s">
        <v>377</v>
      </c>
      <c r="F324" s="12" t="s">
        <v>13</v>
      </c>
      <c r="G324" s="15" t="s">
        <v>14</v>
      </c>
      <c r="H324" s="16">
        <v>45107</v>
      </c>
      <c r="I324" s="15" t="s">
        <v>76</v>
      </c>
      <c r="J324" s="12">
        <v>1</v>
      </c>
      <c r="K324" s="18" t="s">
        <v>380</v>
      </c>
    </row>
    <row r="325" spans="1:11" ht="26" customHeight="1" x14ac:dyDescent="0.35">
      <c r="A325" s="12">
        <v>324</v>
      </c>
      <c r="B325" s="13">
        <v>21329</v>
      </c>
      <c r="C325" s="21">
        <v>117653000663</v>
      </c>
      <c r="D325" s="14" t="s">
        <v>376</v>
      </c>
      <c r="E325" s="12" t="s">
        <v>377</v>
      </c>
      <c r="F325" s="12" t="s">
        <v>13</v>
      </c>
      <c r="G325" s="15" t="s">
        <v>14</v>
      </c>
      <c r="H325" s="16">
        <v>45099</v>
      </c>
      <c r="I325" s="15" t="s">
        <v>72</v>
      </c>
      <c r="J325" s="12">
        <v>1</v>
      </c>
      <c r="K325" s="18" t="s">
        <v>381</v>
      </c>
    </row>
    <row r="326" spans="1:11" ht="26" customHeight="1" x14ac:dyDescent="0.35">
      <c r="A326" s="12">
        <v>325</v>
      </c>
      <c r="B326" s="13">
        <v>21329</v>
      </c>
      <c r="C326" s="21">
        <v>117653000663</v>
      </c>
      <c r="D326" s="14" t="s">
        <v>376</v>
      </c>
      <c r="E326" s="12" t="s">
        <v>377</v>
      </c>
      <c r="F326" s="12" t="s">
        <v>13</v>
      </c>
      <c r="G326" s="15" t="s">
        <v>14</v>
      </c>
      <c r="H326" s="16">
        <v>45103</v>
      </c>
      <c r="I326" s="15" t="s">
        <v>74</v>
      </c>
      <c r="J326" s="12">
        <v>1</v>
      </c>
      <c r="K326" s="18" t="s">
        <v>382</v>
      </c>
    </row>
    <row r="327" spans="1:11" ht="26" customHeight="1" x14ac:dyDescent="0.35">
      <c r="A327" s="12">
        <v>326</v>
      </c>
      <c r="B327" s="13">
        <v>21329</v>
      </c>
      <c r="C327" s="21">
        <v>117653000663</v>
      </c>
      <c r="D327" s="14" t="s">
        <v>376</v>
      </c>
      <c r="E327" s="12" t="s">
        <v>377</v>
      </c>
      <c r="F327" s="12" t="s">
        <v>13</v>
      </c>
      <c r="G327" s="15" t="s">
        <v>14</v>
      </c>
      <c r="H327" s="16">
        <v>45105</v>
      </c>
      <c r="I327" s="15" t="s">
        <v>81</v>
      </c>
      <c r="J327" s="12">
        <v>2</v>
      </c>
      <c r="K327" s="18" t="s">
        <v>383</v>
      </c>
    </row>
    <row r="328" spans="1:11" ht="26" customHeight="1" x14ac:dyDescent="0.35">
      <c r="A328" s="12">
        <v>327</v>
      </c>
      <c r="B328" s="13">
        <v>21329</v>
      </c>
      <c r="C328" s="21">
        <v>117653000663</v>
      </c>
      <c r="D328" s="14" t="s">
        <v>376</v>
      </c>
      <c r="E328" s="12" t="s">
        <v>377</v>
      </c>
      <c r="F328" s="12" t="s">
        <v>13</v>
      </c>
      <c r="G328" s="15" t="s">
        <v>14</v>
      </c>
      <c r="H328" s="16">
        <v>45111</v>
      </c>
      <c r="I328" s="15" t="s">
        <v>142</v>
      </c>
      <c r="J328" s="12">
        <v>1</v>
      </c>
      <c r="K328" s="18" t="s">
        <v>384</v>
      </c>
    </row>
    <row r="329" spans="1:11" ht="26" customHeight="1" x14ac:dyDescent="0.35">
      <c r="A329" s="12">
        <v>328</v>
      </c>
      <c r="B329" s="13">
        <v>21329</v>
      </c>
      <c r="C329" s="21">
        <v>117653000663</v>
      </c>
      <c r="D329" s="14" t="s">
        <v>376</v>
      </c>
      <c r="E329" s="12" t="s">
        <v>377</v>
      </c>
      <c r="F329" s="12" t="s">
        <v>13</v>
      </c>
      <c r="G329" s="15" t="s">
        <v>14</v>
      </c>
      <c r="H329" s="16">
        <v>45126</v>
      </c>
      <c r="I329" s="15" t="s">
        <v>277</v>
      </c>
      <c r="J329" s="12">
        <v>1</v>
      </c>
      <c r="K329" s="18">
        <v>2603035273</v>
      </c>
    </row>
    <row r="330" spans="1:11" ht="26" customHeight="1" x14ac:dyDescent="0.35">
      <c r="A330" s="12">
        <v>329</v>
      </c>
      <c r="B330" s="13">
        <v>21329</v>
      </c>
      <c r="C330" s="21">
        <v>117653000663</v>
      </c>
      <c r="D330" s="14" t="s">
        <v>376</v>
      </c>
      <c r="E330" s="12" t="s">
        <v>377</v>
      </c>
      <c r="F330" s="12" t="s">
        <v>13</v>
      </c>
      <c r="G330" s="15" t="s">
        <v>14</v>
      </c>
      <c r="H330" s="16">
        <v>45112</v>
      </c>
      <c r="I330" s="15" t="s">
        <v>278</v>
      </c>
      <c r="J330" s="12">
        <v>1</v>
      </c>
      <c r="K330" s="18" t="s">
        <v>385</v>
      </c>
    </row>
    <row r="331" spans="1:11" ht="26" customHeight="1" x14ac:dyDescent="0.35">
      <c r="A331" s="12">
        <v>330</v>
      </c>
      <c r="B331" s="13">
        <v>21329</v>
      </c>
      <c r="C331" s="21">
        <v>117653000663</v>
      </c>
      <c r="D331" s="14" t="s">
        <v>376</v>
      </c>
      <c r="E331" s="12" t="s">
        <v>377</v>
      </c>
      <c r="F331" s="12" t="s">
        <v>13</v>
      </c>
      <c r="G331" s="15" t="s">
        <v>14</v>
      </c>
      <c r="H331" s="16">
        <v>45119</v>
      </c>
      <c r="I331" s="15" t="s">
        <v>280</v>
      </c>
      <c r="J331" s="12">
        <v>1</v>
      </c>
      <c r="K331" s="18">
        <v>613</v>
      </c>
    </row>
    <row r="332" spans="1:11" ht="26" customHeight="1" x14ac:dyDescent="0.35">
      <c r="A332" s="12">
        <v>331</v>
      </c>
      <c r="B332" s="13">
        <v>21329</v>
      </c>
      <c r="C332" s="21">
        <v>117653000663</v>
      </c>
      <c r="D332" s="14" t="s">
        <v>376</v>
      </c>
      <c r="E332" s="12" t="s">
        <v>377</v>
      </c>
      <c r="F332" s="12" t="s">
        <v>13</v>
      </c>
      <c r="G332" s="15" t="s">
        <v>14</v>
      </c>
      <c r="H332" s="16">
        <v>45104</v>
      </c>
      <c r="I332" s="15" t="s">
        <v>281</v>
      </c>
      <c r="J332" s="12">
        <v>1</v>
      </c>
      <c r="K332" s="18" t="s">
        <v>386</v>
      </c>
    </row>
    <row r="333" spans="1:11" ht="26" customHeight="1" x14ac:dyDescent="0.35">
      <c r="A333" s="12">
        <v>332</v>
      </c>
      <c r="B333" s="13">
        <v>21329</v>
      </c>
      <c r="C333" s="21">
        <v>117653000663</v>
      </c>
      <c r="D333" s="14" t="s">
        <v>376</v>
      </c>
      <c r="E333" s="12" t="s">
        <v>377</v>
      </c>
      <c r="F333" s="12" t="s">
        <v>13</v>
      </c>
      <c r="G333" s="15" t="s">
        <v>14</v>
      </c>
      <c r="H333" s="16">
        <v>45110</v>
      </c>
      <c r="I333" s="15" t="s">
        <v>283</v>
      </c>
      <c r="J333" s="12">
        <v>1</v>
      </c>
      <c r="K333" s="18" t="s">
        <v>387</v>
      </c>
    </row>
    <row r="334" spans="1:11" ht="26" customHeight="1" x14ac:dyDescent="0.35">
      <c r="A334" s="12">
        <v>333</v>
      </c>
      <c r="B334" s="13">
        <v>21329</v>
      </c>
      <c r="C334" s="21">
        <v>117653000663</v>
      </c>
      <c r="D334" s="14" t="s">
        <v>376</v>
      </c>
      <c r="E334" s="12" t="s">
        <v>377</v>
      </c>
      <c r="F334" s="12" t="s">
        <v>13</v>
      </c>
      <c r="G334" s="15" t="s">
        <v>14</v>
      </c>
      <c r="H334" s="16">
        <v>45109</v>
      </c>
      <c r="I334" s="15" t="s">
        <v>285</v>
      </c>
      <c r="J334" s="12">
        <v>1</v>
      </c>
      <c r="K334" s="18" t="s">
        <v>388</v>
      </c>
    </row>
    <row r="335" spans="1:11" ht="26" customHeight="1" x14ac:dyDescent="0.35">
      <c r="A335" s="12">
        <v>334</v>
      </c>
      <c r="B335" s="13">
        <v>21329</v>
      </c>
      <c r="C335" s="21">
        <v>117653000663</v>
      </c>
      <c r="D335" s="14" t="s">
        <v>376</v>
      </c>
      <c r="E335" s="12" t="s">
        <v>377</v>
      </c>
      <c r="F335" s="12" t="s">
        <v>13</v>
      </c>
      <c r="G335" s="15" t="s">
        <v>14</v>
      </c>
      <c r="H335" s="16">
        <v>45115</v>
      </c>
      <c r="I335" s="15" t="s">
        <v>287</v>
      </c>
      <c r="J335" s="12">
        <v>1</v>
      </c>
      <c r="K335" s="18">
        <v>205</v>
      </c>
    </row>
    <row r="336" spans="1:11" ht="26" customHeight="1" x14ac:dyDescent="0.35">
      <c r="A336" s="12">
        <v>335</v>
      </c>
      <c r="B336" s="13">
        <v>21329</v>
      </c>
      <c r="C336" s="21">
        <v>117653000663</v>
      </c>
      <c r="D336" s="14" t="s">
        <v>376</v>
      </c>
      <c r="E336" s="12" t="s">
        <v>377</v>
      </c>
      <c r="F336" s="12" t="s">
        <v>13</v>
      </c>
      <c r="G336" s="15" t="s">
        <v>14</v>
      </c>
      <c r="H336" s="16">
        <v>45026</v>
      </c>
      <c r="I336" s="15" t="s">
        <v>288</v>
      </c>
      <c r="J336" s="12">
        <v>1</v>
      </c>
      <c r="K336" s="18" t="s">
        <v>58</v>
      </c>
    </row>
    <row r="337" spans="1:11" ht="26" customHeight="1" x14ac:dyDescent="0.35">
      <c r="A337" s="12">
        <v>336</v>
      </c>
      <c r="B337" s="13">
        <v>33116</v>
      </c>
      <c r="C337" s="21">
        <v>117513000558</v>
      </c>
      <c r="D337" s="14" t="s">
        <v>389</v>
      </c>
      <c r="E337" s="12" t="s">
        <v>130</v>
      </c>
      <c r="F337" s="12" t="s">
        <v>13</v>
      </c>
      <c r="G337" s="15" t="s">
        <v>14</v>
      </c>
      <c r="H337" s="16">
        <v>45106</v>
      </c>
      <c r="I337" s="15" t="s">
        <v>78</v>
      </c>
      <c r="J337" s="12">
        <v>1</v>
      </c>
      <c r="K337" s="18" t="s">
        <v>390</v>
      </c>
    </row>
    <row r="338" spans="1:11" ht="26" customHeight="1" x14ac:dyDescent="0.35">
      <c r="A338" s="12">
        <v>337</v>
      </c>
      <c r="B338" s="13">
        <v>33116</v>
      </c>
      <c r="C338" s="21">
        <v>117513000558</v>
      </c>
      <c r="D338" s="14" t="s">
        <v>389</v>
      </c>
      <c r="E338" s="12" t="s">
        <v>130</v>
      </c>
      <c r="F338" s="12" t="s">
        <v>13</v>
      </c>
      <c r="G338" s="15" t="s">
        <v>14</v>
      </c>
      <c r="H338" s="16">
        <v>45106</v>
      </c>
      <c r="I338" s="15" t="s">
        <v>78</v>
      </c>
      <c r="J338" s="12">
        <v>1</v>
      </c>
      <c r="K338" s="18" t="s">
        <v>391</v>
      </c>
    </row>
    <row r="339" spans="1:11" ht="26" customHeight="1" x14ac:dyDescent="0.35">
      <c r="A339" s="12">
        <v>338</v>
      </c>
      <c r="B339" s="13">
        <v>33116</v>
      </c>
      <c r="C339" s="21">
        <v>117513000558</v>
      </c>
      <c r="D339" s="14" t="s">
        <v>389</v>
      </c>
      <c r="E339" s="12" t="s">
        <v>130</v>
      </c>
      <c r="F339" s="12" t="s">
        <v>13</v>
      </c>
      <c r="G339" s="15" t="s">
        <v>14</v>
      </c>
      <c r="H339" s="16">
        <v>45120</v>
      </c>
      <c r="I339" s="15" t="s">
        <v>271</v>
      </c>
      <c r="J339" s="12">
        <v>1</v>
      </c>
      <c r="K339" s="18">
        <v>672</v>
      </c>
    </row>
    <row r="340" spans="1:11" ht="26" customHeight="1" x14ac:dyDescent="0.35">
      <c r="A340" s="12">
        <v>339</v>
      </c>
      <c r="B340" s="13">
        <v>33116</v>
      </c>
      <c r="C340" s="21">
        <v>117513000558</v>
      </c>
      <c r="D340" s="14" t="s">
        <v>389</v>
      </c>
      <c r="E340" s="12" t="s">
        <v>130</v>
      </c>
      <c r="F340" s="12" t="s">
        <v>13</v>
      </c>
      <c r="G340" s="15" t="s">
        <v>14</v>
      </c>
      <c r="H340" s="16">
        <v>45107</v>
      </c>
      <c r="I340" s="15" t="s">
        <v>76</v>
      </c>
      <c r="J340" s="12">
        <v>1</v>
      </c>
      <c r="K340" s="18" t="s">
        <v>392</v>
      </c>
    </row>
    <row r="341" spans="1:11" ht="26" customHeight="1" x14ac:dyDescent="0.35">
      <c r="A341" s="12">
        <v>340</v>
      </c>
      <c r="B341" s="13">
        <v>33116</v>
      </c>
      <c r="C341" s="21">
        <v>117513000558</v>
      </c>
      <c r="D341" s="14" t="s">
        <v>389</v>
      </c>
      <c r="E341" s="12" t="s">
        <v>130</v>
      </c>
      <c r="F341" s="12" t="s">
        <v>13</v>
      </c>
      <c r="G341" s="15" t="s">
        <v>14</v>
      </c>
      <c r="H341" s="16">
        <v>45099</v>
      </c>
      <c r="I341" s="15" t="s">
        <v>72</v>
      </c>
      <c r="J341" s="12">
        <v>1</v>
      </c>
      <c r="K341" s="18" t="s">
        <v>393</v>
      </c>
    </row>
    <row r="342" spans="1:11" ht="26" customHeight="1" x14ac:dyDescent="0.35">
      <c r="A342" s="12">
        <v>341</v>
      </c>
      <c r="B342" s="13">
        <v>33116</v>
      </c>
      <c r="C342" s="21">
        <v>117513000558</v>
      </c>
      <c r="D342" s="14" t="s">
        <v>389</v>
      </c>
      <c r="E342" s="12" t="s">
        <v>130</v>
      </c>
      <c r="F342" s="12" t="s">
        <v>13</v>
      </c>
      <c r="G342" s="15" t="s">
        <v>14</v>
      </c>
      <c r="H342" s="16">
        <v>45103</v>
      </c>
      <c r="I342" s="15" t="s">
        <v>74</v>
      </c>
      <c r="J342" s="12">
        <v>1</v>
      </c>
      <c r="K342" s="18" t="s">
        <v>394</v>
      </c>
    </row>
    <row r="343" spans="1:11" ht="26" customHeight="1" x14ac:dyDescent="0.35">
      <c r="A343" s="12">
        <v>342</v>
      </c>
      <c r="B343" s="13">
        <v>33116</v>
      </c>
      <c r="C343" s="21">
        <v>117513000558</v>
      </c>
      <c r="D343" s="14" t="s">
        <v>389</v>
      </c>
      <c r="E343" s="12" t="s">
        <v>130</v>
      </c>
      <c r="F343" s="12" t="s">
        <v>13</v>
      </c>
      <c r="G343" s="15" t="s">
        <v>14</v>
      </c>
      <c r="H343" s="16">
        <v>45105</v>
      </c>
      <c r="I343" s="15" t="s">
        <v>81</v>
      </c>
      <c r="J343" s="12">
        <v>2</v>
      </c>
      <c r="K343" s="18" t="s">
        <v>395</v>
      </c>
    </row>
    <row r="344" spans="1:11" ht="26" customHeight="1" x14ac:dyDescent="0.35">
      <c r="A344" s="12">
        <v>343</v>
      </c>
      <c r="B344" s="13">
        <v>33116</v>
      </c>
      <c r="C344" s="21">
        <v>117513000558</v>
      </c>
      <c r="D344" s="14" t="s">
        <v>389</v>
      </c>
      <c r="E344" s="12" t="s">
        <v>130</v>
      </c>
      <c r="F344" s="12" t="s">
        <v>13</v>
      </c>
      <c r="G344" s="15" t="s">
        <v>14</v>
      </c>
      <c r="H344" s="16">
        <v>45111</v>
      </c>
      <c r="I344" s="15" t="s">
        <v>142</v>
      </c>
      <c r="J344" s="12">
        <v>1</v>
      </c>
      <c r="K344" s="18" t="s">
        <v>396</v>
      </c>
    </row>
    <row r="345" spans="1:11" ht="26" customHeight="1" x14ac:dyDescent="0.35">
      <c r="A345" s="12">
        <v>344</v>
      </c>
      <c r="B345" s="13">
        <v>33116</v>
      </c>
      <c r="C345" s="21">
        <v>117513000558</v>
      </c>
      <c r="D345" s="14" t="s">
        <v>389</v>
      </c>
      <c r="E345" s="12" t="s">
        <v>130</v>
      </c>
      <c r="F345" s="12" t="s">
        <v>13</v>
      </c>
      <c r="G345" s="15" t="s">
        <v>14</v>
      </c>
      <c r="H345" s="16">
        <v>45126</v>
      </c>
      <c r="I345" s="15" t="s">
        <v>277</v>
      </c>
      <c r="J345" s="12">
        <v>1</v>
      </c>
      <c r="K345" s="18">
        <v>2603035424</v>
      </c>
    </row>
    <row r="346" spans="1:11" ht="26" customHeight="1" x14ac:dyDescent="0.35">
      <c r="A346" s="12">
        <v>345</v>
      </c>
      <c r="B346" s="13">
        <v>33116</v>
      </c>
      <c r="C346" s="21">
        <v>117513000558</v>
      </c>
      <c r="D346" s="14" t="s">
        <v>389</v>
      </c>
      <c r="E346" s="12" t="s">
        <v>130</v>
      </c>
      <c r="F346" s="12" t="s">
        <v>13</v>
      </c>
      <c r="G346" s="15" t="s">
        <v>14</v>
      </c>
      <c r="H346" s="16">
        <v>45112</v>
      </c>
      <c r="I346" s="15" t="s">
        <v>278</v>
      </c>
      <c r="J346" s="12">
        <v>1</v>
      </c>
      <c r="K346" s="18" t="s">
        <v>397</v>
      </c>
    </row>
    <row r="347" spans="1:11" ht="26" customHeight="1" x14ac:dyDescent="0.35">
      <c r="A347" s="12">
        <v>346</v>
      </c>
      <c r="B347" s="13">
        <v>33116</v>
      </c>
      <c r="C347" s="21">
        <v>117513000558</v>
      </c>
      <c r="D347" s="14" t="s">
        <v>389</v>
      </c>
      <c r="E347" s="12" t="s">
        <v>130</v>
      </c>
      <c r="F347" s="12" t="s">
        <v>13</v>
      </c>
      <c r="G347" s="15" t="s">
        <v>14</v>
      </c>
      <c r="H347" s="16">
        <v>45119</v>
      </c>
      <c r="I347" s="15" t="s">
        <v>280</v>
      </c>
      <c r="J347" s="12">
        <v>1</v>
      </c>
      <c r="K347" s="18">
        <v>618</v>
      </c>
    </row>
    <row r="348" spans="1:11" ht="26" customHeight="1" x14ac:dyDescent="0.35">
      <c r="A348" s="12">
        <v>347</v>
      </c>
      <c r="B348" s="13">
        <v>33116</v>
      </c>
      <c r="C348" s="21">
        <v>117513000558</v>
      </c>
      <c r="D348" s="14" t="s">
        <v>389</v>
      </c>
      <c r="E348" s="12" t="s">
        <v>130</v>
      </c>
      <c r="F348" s="12" t="s">
        <v>13</v>
      </c>
      <c r="G348" s="15" t="s">
        <v>14</v>
      </c>
      <c r="H348" s="16">
        <v>45104</v>
      </c>
      <c r="I348" s="15" t="s">
        <v>281</v>
      </c>
      <c r="J348" s="12">
        <v>1</v>
      </c>
      <c r="K348" s="18" t="s">
        <v>398</v>
      </c>
    </row>
    <row r="349" spans="1:11" ht="26" customHeight="1" x14ac:dyDescent="0.35">
      <c r="A349" s="12">
        <v>348</v>
      </c>
      <c r="B349" s="13">
        <v>33116</v>
      </c>
      <c r="C349" s="21">
        <v>117513000558</v>
      </c>
      <c r="D349" s="14" t="s">
        <v>389</v>
      </c>
      <c r="E349" s="12" t="s">
        <v>130</v>
      </c>
      <c r="F349" s="12" t="s">
        <v>13</v>
      </c>
      <c r="G349" s="15" t="s">
        <v>14</v>
      </c>
      <c r="H349" s="16">
        <v>45110</v>
      </c>
      <c r="I349" s="15" t="s">
        <v>283</v>
      </c>
      <c r="J349" s="12">
        <v>1</v>
      </c>
      <c r="K349" s="18" t="s">
        <v>399</v>
      </c>
    </row>
    <row r="350" spans="1:11" ht="26" customHeight="1" x14ac:dyDescent="0.35">
      <c r="A350" s="12">
        <v>349</v>
      </c>
      <c r="B350" s="13">
        <v>33116</v>
      </c>
      <c r="C350" s="21">
        <v>117513000558</v>
      </c>
      <c r="D350" s="14" t="s">
        <v>389</v>
      </c>
      <c r="E350" s="12" t="s">
        <v>130</v>
      </c>
      <c r="F350" s="12" t="s">
        <v>13</v>
      </c>
      <c r="G350" s="15" t="s">
        <v>14</v>
      </c>
      <c r="H350" s="16">
        <v>45109</v>
      </c>
      <c r="I350" s="15" t="s">
        <v>285</v>
      </c>
      <c r="J350" s="12">
        <v>1</v>
      </c>
      <c r="K350" s="18" t="s">
        <v>400</v>
      </c>
    </row>
    <row r="351" spans="1:11" ht="26" customHeight="1" x14ac:dyDescent="0.35">
      <c r="A351" s="12">
        <v>350</v>
      </c>
      <c r="B351" s="13">
        <v>33116</v>
      </c>
      <c r="C351" s="21">
        <v>117513000558</v>
      </c>
      <c r="D351" s="14" t="s">
        <v>389</v>
      </c>
      <c r="E351" s="12" t="s">
        <v>130</v>
      </c>
      <c r="F351" s="12" t="s">
        <v>13</v>
      </c>
      <c r="G351" s="15" t="s">
        <v>14</v>
      </c>
      <c r="H351" s="16">
        <v>45115</v>
      </c>
      <c r="I351" s="15" t="s">
        <v>287</v>
      </c>
      <c r="J351" s="12">
        <v>1</v>
      </c>
      <c r="K351" s="18">
        <v>228</v>
      </c>
    </row>
    <row r="352" spans="1:11" ht="26" customHeight="1" x14ac:dyDescent="0.35">
      <c r="A352" s="12">
        <v>351</v>
      </c>
      <c r="B352" s="13">
        <v>33116</v>
      </c>
      <c r="C352" s="21">
        <v>117513000558</v>
      </c>
      <c r="D352" s="14" t="s">
        <v>389</v>
      </c>
      <c r="E352" s="12" t="s">
        <v>130</v>
      </c>
      <c r="F352" s="12" t="s">
        <v>13</v>
      </c>
      <c r="G352" s="15" t="s">
        <v>14</v>
      </c>
      <c r="H352" s="16">
        <v>45026</v>
      </c>
      <c r="I352" s="15" t="s">
        <v>288</v>
      </c>
      <c r="J352" s="12">
        <v>1</v>
      </c>
      <c r="K352" s="18" t="s">
        <v>58</v>
      </c>
    </row>
    <row r="353" spans="1:11" ht="26" customHeight="1" x14ac:dyDescent="0.35">
      <c r="A353" s="12">
        <v>352</v>
      </c>
      <c r="B353" s="13">
        <v>18499</v>
      </c>
      <c r="C353" s="21">
        <v>117174000349</v>
      </c>
      <c r="D353" s="14" t="s">
        <v>401</v>
      </c>
      <c r="E353" s="12" t="s">
        <v>262</v>
      </c>
      <c r="F353" s="12" t="s">
        <v>13</v>
      </c>
      <c r="G353" s="15" t="s">
        <v>14</v>
      </c>
      <c r="H353" s="16">
        <v>45106</v>
      </c>
      <c r="I353" s="15" t="s">
        <v>78</v>
      </c>
      <c r="J353" s="12">
        <v>1</v>
      </c>
      <c r="K353" s="18" t="s">
        <v>402</v>
      </c>
    </row>
    <row r="354" spans="1:11" ht="26" customHeight="1" x14ac:dyDescent="0.35">
      <c r="A354" s="12">
        <v>353</v>
      </c>
      <c r="B354" s="13">
        <v>18499</v>
      </c>
      <c r="C354" s="21">
        <v>117174000349</v>
      </c>
      <c r="D354" s="14" t="s">
        <v>401</v>
      </c>
      <c r="E354" s="12" t="s">
        <v>262</v>
      </c>
      <c r="F354" s="12" t="s">
        <v>13</v>
      </c>
      <c r="G354" s="15" t="s">
        <v>14</v>
      </c>
      <c r="H354" s="16">
        <v>45106</v>
      </c>
      <c r="I354" s="15" t="s">
        <v>78</v>
      </c>
      <c r="J354" s="12">
        <v>1</v>
      </c>
      <c r="K354" s="18" t="s">
        <v>403</v>
      </c>
    </row>
    <row r="355" spans="1:11" ht="26" customHeight="1" x14ac:dyDescent="0.35">
      <c r="A355" s="12">
        <v>354</v>
      </c>
      <c r="B355" s="13">
        <v>18499</v>
      </c>
      <c r="C355" s="21">
        <v>117174000349</v>
      </c>
      <c r="D355" s="14" t="s">
        <v>401</v>
      </c>
      <c r="E355" s="12" t="s">
        <v>262</v>
      </c>
      <c r="F355" s="12" t="s">
        <v>13</v>
      </c>
      <c r="G355" s="15" t="s">
        <v>14</v>
      </c>
      <c r="H355" s="16">
        <v>45120</v>
      </c>
      <c r="I355" s="15" t="s">
        <v>271</v>
      </c>
      <c r="J355" s="12">
        <v>1</v>
      </c>
      <c r="K355" s="18">
        <v>669</v>
      </c>
    </row>
    <row r="356" spans="1:11" ht="26" customHeight="1" x14ac:dyDescent="0.35">
      <c r="A356" s="12">
        <v>355</v>
      </c>
      <c r="B356" s="13">
        <v>18499</v>
      </c>
      <c r="C356" s="21">
        <v>117174000349</v>
      </c>
      <c r="D356" s="14" t="s">
        <v>401</v>
      </c>
      <c r="E356" s="12" t="s">
        <v>262</v>
      </c>
      <c r="F356" s="12" t="s">
        <v>13</v>
      </c>
      <c r="G356" s="15" t="s">
        <v>14</v>
      </c>
      <c r="H356" s="16">
        <v>45107</v>
      </c>
      <c r="I356" s="15" t="s">
        <v>76</v>
      </c>
      <c r="J356" s="12">
        <v>1</v>
      </c>
      <c r="K356" s="18" t="s">
        <v>404</v>
      </c>
    </row>
    <row r="357" spans="1:11" ht="26" customHeight="1" x14ac:dyDescent="0.35">
      <c r="A357" s="12">
        <v>356</v>
      </c>
      <c r="B357" s="13">
        <v>18499</v>
      </c>
      <c r="C357" s="21">
        <v>117174000349</v>
      </c>
      <c r="D357" s="14" t="s">
        <v>401</v>
      </c>
      <c r="E357" s="12" t="s">
        <v>262</v>
      </c>
      <c r="F357" s="12" t="s">
        <v>13</v>
      </c>
      <c r="G357" s="15" t="s">
        <v>14</v>
      </c>
      <c r="H357" s="16">
        <v>45099</v>
      </c>
      <c r="I357" s="15" t="s">
        <v>72</v>
      </c>
      <c r="J357" s="12">
        <v>1</v>
      </c>
      <c r="K357" s="18" t="s">
        <v>405</v>
      </c>
    </row>
    <row r="358" spans="1:11" ht="26" customHeight="1" x14ac:dyDescent="0.35">
      <c r="A358" s="12">
        <v>357</v>
      </c>
      <c r="B358" s="13">
        <v>18499</v>
      </c>
      <c r="C358" s="21">
        <v>117174000349</v>
      </c>
      <c r="D358" s="14" t="s">
        <v>401</v>
      </c>
      <c r="E358" s="12" t="s">
        <v>262</v>
      </c>
      <c r="F358" s="12" t="s">
        <v>13</v>
      </c>
      <c r="G358" s="15" t="s">
        <v>14</v>
      </c>
      <c r="H358" s="16">
        <v>45103</v>
      </c>
      <c r="I358" s="15" t="s">
        <v>74</v>
      </c>
      <c r="J358" s="12">
        <v>1</v>
      </c>
      <c r="K358" s="18" t="s">
        <v>406</v>
      </c>
    </row>
    <row r="359" spans="1:11" ht="26" customHeight="1" x14ac:dyDescent="0.35">
      <c r="A359" s="12">
        <v>358</v>
      </c>
      <c r="B359" s="13">
        <v>18499</v>
      </c>
      <c r="C359" s="21">
        <v>117174000349</v>
      </c>
      <c r="D359" s="14" t="s">
        <v>401</v>
      </c>
      <c r="E359" s="12" t="s">
        <v>262</v>
      </c>
      <c r="F359" s="12" t="s">
        <v>13</v>
      </c>
      <c r="G359" s="15" t="s">
        <v>14</v>
      </c>
      <c r="H359" s="16">
        <v>45105</v>
      </c>
      <c r="I359" s="15" t="s">
        <v>81</v>
      </c>
      <c r="J359" s="12">
        <v>2</v>
      </c>
      <c r="K359" s="18" t="s">
        <v>407</v>
      </c>
    </row>
    <row r="360" spans="1:11" ht="26" customHeight="1" x14ac:dyDescent="0.35">
      <c r="A360" s="12">
        <v>359</v>
      </c>
      <c r="B360" s="13">
        <v>18499</v>
      </c>
      <c r="C360" s="21">
        <v>117174000349</v>
      </c>
      <c r="D360" s="14" t="s">
        <v>401</v>
      </c>
      <c r="E360" s="12" t="s">
        <v>262</v>
      </c>
      <c r="F360" s="12" t="s">
        <v>13</v>
      </c>
      <c r="G360" s="15" t="s">
        <v>14</v>
      </c>
      <c r="H360" s="16">
        <v>45111</v>
      </c>
      <c r="I360" s="15" t="s">
        <v>142</v>
      </c>
      <c r="J360" s="12">
        <v>1</v>
      </c>
      <c r="K360" s="18" t="s">
        <v>408</v>
      </c>
    </row>
    <row r="361" spans="1:11" ht="26" customHeight="1" x14ac:dyDescent="0.35">
      <c r="A361" s="12">
        <v>360</v>
      </c>
      <c r="B361" s="13">
        <v>18499</v>
      </c>
      <c r="C361" s="21">
        <v>117174000349</v>
      </c>
      <c r="D361" s="14" t="s">
        <v>401</v>
      </c>
      <c r="E361" s="12" t="s">
        <v>262</v>
      </c>
      <c r="F361" s="12" t="s">
        <v>13</v>
      </c>
      <c r="G361" s="15" t="s">
        <v>14</v>
      </c>
      <c r="H361" s="16">
        <v>45126</v>
      </c>
      <c r="I361" s="15" t="s">
        <v>277</v>
      </c>
      <c r="J361" s="12">
        <v>1</v>
      </c>
      <c r="K361" s="18">
        <v>2603035503</v>
      </c>
    </row>
    <row r="362" spans="1:11" ht="26" customHeight="1" x14ac:dyDescent="0.35">
      <c r="A362" s="12">
        <v>361</v>
      </c>
      <c r="B362" s="13">
        <v>18499</v>
      </c>
      <c r="C362" s="21">
        <v>117174000349</v>
      </c>
      <c r="D362" s="14" t="s">
        <v>401</v>
      </c>
      <c r="E362" s="12" t="s">
        <v>262</v>
      </c>
      <c r="F362" s="12" t="s">
        <v>13</v>
      </c>
      <c r="G362" s="15" t="s">
        <v>14</v>
      </c>
      <c r="H362" s="16">
        <v>45112</v>
      </c>
      <c r="I362" s="15" t="s">
        <v>278</v>
      </c>
      <c r="J362" s="12">
        <v>1</v>
      </c>
      <c r="K362" s="18" t="s">
        <v>409</v>
      </c>
    </row>
    <row r="363" spans="1:11" ht="26" customHeight="1" x14ac:dyDescent="0.35">
      <c r="A363" s="12">
        <v>362</v>
      </c>
      <c r="B363" s="13">
        <v>18499</v>
      </c>
      <c r="C363" s="21">
        <v>117174000349</v>
      </c>
      <c r="D363" s="14" t="s">
        <v>401</v>
      </c>
      <c r="E363" s="12" t="s">
        <v>262</v>
      </c>
      <c r="F363" s="12" t="s">
        <v>13</v>
      </c>
      <c r="G363" s="15" t="s">
        <v>14</v>
      </c>
      <c r="H363" s="16">
        <v>45119</v>
      </c>
      <c r="I363" s="15" t="s">
        <v>280</v>
      </c>
      <c r="J363" s="12">
        <v>1</v>
      </c>
      <c r="K363" s="18">
        <v>630</v>
      </c>
    </row>
    <row r="364" spans="1:11" ht="26" customHeight="1" x14ac:dyDescent="0.35">
      <c r="A364" s="12">
        <v>363</v>
      </c>
      <c r="B364" s="13">
        <v>18499</v>
      </c>
      <c r="C364" s="21">
        <v>117174000349</v>
      </c>
      <c r="D364" s="14" t="s">
        <v>401</v>
      </c>
      <c r="E364" s="12" t="s">
        <v>262</v>
      </c>
      <c r="F364" s="12" t="s">
        <v>13</v>
      </c>
      <c r="G364" s="15" t="s">
        <v>14</v>
      </c>
      <c r="H364" s="16">
        <v>45104</v>
      </c>
      <c r="I364" s="15" t="s">
        <v>281</v>
      </c>
      <c r="J364" s="12">
        <v>1</v>
      </c>
      <c r="K364" s="18" t="s">
        <v>410</v>
      </c>
    </row>
    <row r="365" spans="1:11" ht="26" customHeight="1" x14ac:dyDescent="0.35">
      <c r="A365" s="12">
        <v>364</v>
      </c>
      <c r="B365" s="13">
        <v>18499</v>
      </c>
      <c r="C365" s="21">
        <v>117174000349</v>
      </c>
      <c r="D365" s="14" t="s">
        <v>401</v>
      </c>
      <c r="E365" s="12" t="s">
        <v>262</v>
      </c>
      <c r="F365" s="12" t="s">
        <v>13</v>
      </c>
      <c r="G365" s="15" t="s">
        <v>14</v>
      </c>
      <c r="H365" s="16">
        <v>45110</v>
      </c>
      <c r="I365" s="15" t="s">
        <v>283</v>
      </c>
      <c r="J365" s="12">
        <v>1</v>
      </c>
      <c r="K365" s="18" t="s">
        <v>411</v>
      </c>
    </row>
    <row r="366" spans="1:11" ht="26" customHeight="1" x14ac:dyDescent="0.35">
      <c r="A366" s="12">
        <v>365</v>
      </c>
      <c r="B366" s="13">
        <v>18499</v>
      </c>
      <c r="C366" s="21">
        <v>117174000349</v>
      </c>
      <c r="D366" s="14" t="s">
        <v>401</v>
      </c>
      <c r="E366" s="12" t="s">
        <v>262</v>
      </c>
      <c r="F366" s="12" t="s">
        <v>13</v>
      </c>
      <c r="G366" s="15" t="s">
        <v>14</v>
      </c>
      <c r="H366" s="16">
        <v>45109</v>
      </c>
      <c r="I366" s="15" t="s">
        <v>285</v>
      </c>
      <c r="J366" s="12">
        <v>1</v>
      </c>
      <c r="K366" s="18" t="s">
        <v>412</v>
      </c>
    </row>
    <row r="367" spans="1:11" ht="26" customHeight="1" x14ac:dyDescent="0.35">
      <c r="A367" s="12">
        <v>366</v>
      </c>
      <c r="B367" s="13">
        <v>18499</v>
      </c>
      <c r="C367" s="21">
        <v>117174000349</v>
      </c>
      <c r="D367" s="14" t="s">
        <v>401</v>
      </c>
      <c r="E367" s="12" t="s">
        <v>262</v>
      </c>
      <c r="F367" s="12" t="s">
        <v>13</v>
      </c>
      <c r="G367" s="15" t="s">
        <v>14</v>
      </c>
      <c r="H367" s="16">
        <v>45115</v>
      </c>
      <c r="I367" s="15" t="s">
        <v>287</v>
      </c>
      <c r="J367" s="12">
        <v>1</v>
      </c>
      <c r="K367" s="18">
        <v>172</v>
      </c>
    </row>
    <row r="368" spans="1:11" ht="26" customHeight="1" x14ac:dyDescent="0.35">
      <c r="A368" s="12">
        <v>367</v>
      </c>
      <c r="B368" s="13">
        <v>18499</v>
      </c>
      <c r="C368" s="21">
        <v>117174000349</v>
      </c>
      <c r="D368" s="14" t="s">
        <v>401</v>
      </c>
      <c r="E368" s="12" t="s">
        <v>262</v>
      </c>
      <c r="F368" s="12" t="s">
        <v>13</v>
      </c>
      <c r="G368" s="15" t="s">
        <v>14</v>
      </c>
      <c r="H368" s="16">
        <v>45026</v>
      </c>
      <c r="I368" s="15" t="s">
        <v>288</v>
      </c>
      <c r="J368" s="12">
        <v>1</v>
      </c>
      <c r="K368" s="18" t="s">
        <v>58</v>
      </c>
    </row>
  </sheetData>
  <autoFilter ref="A1:K36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ESTUDIANTES BENEFICIADOS</vt:lpstr>
      <vt:lpstr>PORTATIL ESTUDIANTES</vt:lpstr>
      <vt:lpstr>TABLETAS ESTUDIANTES</vt:lpstr>
      <vt:lpstr>BOLSA TECNOLOGICA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Yuby Caterine Bohorquez Rojas</dc:creator>
  <cp:lastModifiedBy>GUSTAVO  MARTINEZ MURILLO</cp:lastModifiedBy>
  <dcterms:created xsi:type="dcterms:W3CDTF">2026-10-21T18:55:14Z</dcterms:created>
  <dcterms:modified xsi:type="dcterms:W3CDTF">2026-10-28T15:47:54Z</dcterms:modified>
</cp:coreProperties>
</file>