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diaz\Downloads\RV__Reporte_despacho_equipos_para_Estudiantes\2 ENTREGA BOLSA TECNOLOGICA A INSTITUCIONES\"/>
    </mc:Choice>
  </mc:AlternateContent>
  <xr:revisionPtr revIDLastSave="0" documentId="13_ncr:1_{9F72DDD2-D37B-4C13-ADA2-AF10173712A4}" xr6:coauthVersionLast="47" xr6:coauthVersionMax="47" xr10:uidLastSave="{00000000-0000-0000-0000-000000000000}"/>
  <bookViews>
    <workbookView xWindow="-120" yWindow="-120" windowWidth="29040" windowHeight="15720" xr2:uid="{2BA0390A-670E-49FA-8326-97E511CB6185}"/>
  </bookViews>
  <sheets>
    <sheet name="DISTRIBUCION POR SEDES" sheetId="3" r:id="rId1"/>
  </sheets>
  <definedNames>
    <definedName name="_xlnm._FilterDatabase" localSheetId="0" hidden="1">'DISTRIBUCION POR SEDES'!$A$1:$AL$44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44" i="3" l="1"/>
</calcChain>
</file>

<file path=xl/sharedStrings.xml><?xml version="1.0" encoding="utf-8"?>
<sst xmlns="http://schemas.openxmlformats.org/spreadsheetml/2006/main" count="291" uniqueCount="148">
  <si>
    <t>FASE</t>
  </si>
  <si>
    <t>RADICADO</t>
  </si>
  <si>
    <t>DEPARTAMENTO</t>
  </si>
  <si>
    <t>CÓDIGO MUNICIPIO</t>
  </si>
  <si>
    <t>MUNICIPIO</t>
  </si>
  <si>
    <t>CODIGO_DANE</t>
  </si>
  <si>
    <t>NOMBRE_ESTABLECIMIENTO</t>
  </si>
  <si>
    <t>CODIGO_DANE_SEDE</t>
  </si>
  <si>
    <t>NOMBRE_SEDE</t>
  </si>
  <si>
    <t>ZONA</t>
  </si>
  <si>
    <t>Portátil con pantalla de 15 pulgadas (procesador AMD Ryzen 7 o Intel Core i7, memoria RAM de 32 GB, SSD de 1 tera, GPU dedicada de 8 GB)</t>
  </si>
  <si>
    <t>Computador de escritorio con pantalla de 24 pulgadas IPS (procesador AMD Ryzen 7 o Intel Core i7, memoria RAM de 32 GB, SSD de 1 tera, GPU dedicada de 8 GB)</t>
  </si>
  <si>
    <t>KIT AUDIOVISUAL</t>
  </si>
  <si>
    <t>Cámara fotográfica con lente</t>
  </si>
  <si>
    <t>KIT DE AUDIO DIGITAL</t>
  </si>
  <si>
    <t>Smart TV de 65 pulgadas</t>
  </si>
  <si>
    <t>Soporte Movil Smart Tv</t>
  </si>
  <si>
    <t>Pantalla interactiva 65 pulgadas</t>
  </si>
  <si>
    <t>Soporte Movil Pantalla Interactiva</t>
  </si>
  <si>
    <t>Videoproyector de 3800 lúmenes, parlantes incorporados, HDMI</t>
  </si>
  <si>
    <t>Tabletas sedes</t>
  </si>
  <si>
    <t>Impresora 3D</t>
  </si>
  <si>
    <t>FILAMENTOS</t>
  </si>
  <si>
    <t>KIT DE MANTENIMIENTO</t>
  </si>
  <si>
    <t>Disco duro externo de 1 TB</t>
  </si>
  <si>
    <t>KIT DE ANÁLISIS Y MEDICIÓN (SUELOS Y AGUA)</t>
  </si>
  <si>
    <t>KIT DE ELECTRÓNICA BÁSICO</t>
  </si>
  <si>
    <t>MULTIMETRO</t>
  </si>
  <si>
    <t>FUENTE DE VOLTAJE</t>
  </si>
  <si>
    <t>Estación de soldadura y aire caliente</t>
  </si>
  <si>
    <t>KIT DE AGRICULTURA INTELIGENTE</t>
  </si>
  <si>
    <t>Coder Bunnyz, Cubetto</t>
  </si>
  <si>
    <t>KIT AVANZADO DE 45 SENSORES PARA MICRO:BIT (Incluye MicroBit)</t>
  </si>
  <si>
    <t>KIT DE 45 SENSORES PARA ARDUINO Y RASPBERRY PI (incluye placa arduino)</t>
  </si>
  <si>
    <t>Placa Jetson Nano de 16 GB</t>
  </si>
  <si>
    <t>Módulo de cámara de 8 megapíxeles compatible con Jetson Nano y Raspberry Pi 5</t>
  </si>
  <si>
    <t>TOTAL ELEMENTOS</t>
  </si>
  <si>
    <t>FASE 1</t>
  </si>
  <si>
    <t>Caldas</t>
  </si>
  <si>
    <t>URBANA</t>
  </si>
  <si>
    <t>RURAL</t>
  </si>
  <si>
    <t>FASE 2</t>
  </si>
  <si>
    <t>FASE 3</t>
  </si>
  <si>
    <t>Anserma</t>
  </si>
  <si>
    <t>Aranzazu</t>
  </si>
  <si>
    <t>Belalcázar</t>
  </si>
  <si>
    <t>Filadelfia</t>
  </si>
  <si>
    <t>La Dorada</t>
  </si>
  <si>
    <t>Marmato</t>
  </si>
  <si>
    <t>Marquetalia</t>
  </si>
  <si>
    <t>Neira</t>
  </si>
  <si>
    <t>Norcasia</t>
  </si>
  <si>
    <t>Pácora</t>
  </si>
  <si>
    <t>Pensilvania</t>
  </si>
  <si>
    <t>Riosucio</t>
  </si>
  <si>
    <t>Risaralda</t>
  </si>
  <si>
    <t>Samaná</t>
  </si>
  <si>
    <t>Supía</t>
  </si>
  <si>
    <t>Villamaría</t>
  </si>
  <si>
    <t>Marulanda</t>
  </si>
  <si>
    <t>Salamina</t>
  </si>
  <si>
    <t>Aguadas</t>
  </si>
  <si>
    <t>Chinchiná</t>
  </si>
  <si>
    <t>KIT MAKER
(Kit de electronica + Kit Raee + Cartillas)</t>
  </si>
  <si>
    <t>INSTITUCION EDUCATIVA BONAFONT</t>
  </si>
  <si>
    <t>INSTITUCION EDUCATIVA BONAFONT - SEDE PRINCIPAL</t>
  </si>
  <si>
    <t>INSTITUCION EDUCATIVA CRISANTO LUQUE</t>
  </si>
  <si>
    <t>INSTITUCION EDUCATIVA CRISANTO LUQUE - SEDE PRINCIPAL</t>
  </si>
  <si>
    <t>INSTITUCION EDUCATIVA EL HORRO</t>
  </si>
  <si>
    <t>SEDE VILLA OROZCO</t>
  </si>
  <si>
    <t>INSTITUCION EDUCATIVA DULCE NOMBRE</t>
  </si>
  <si>
    <t>ESCUELA RURAL LA TULIA</t>
  </si>
  <si>
    <t>INSTITUCION EDUCATIVA CRISTO REY</t>
  </si>
  <si>
    <t>INSTITUCION EDUCATIVA CRISTO REY - SEDE PRINCIPAL</t>
  </si>
  <si>
    <t>INSTITUCION EDUCATIVA AURELIANO FLOREZ CARDONA</t>
  </si>
  <si>
    <t>INSTITUCIÓN EDUCATIVA AURELIANO FLOREZ CARDONA  - SEDE PRINCIPAL</t>
  </si>
  <si>
    <t>INSTITUCION EDUCATIVA COLOMBIA</t>
  </si>
  <si>
    <t>INSTITUCION EDUCATIVA COLOMBIA - SEDE PRINCIPAL</t>
  </si>
  <si>
    <t>INSTITUCION EDUCATIVA SUPIA</t>
  </si>
  <si>
    <t>INSTITUCION EDUCATIVA SUPIA - SEDE PRINCIPAL</t>
  </si>
  <si>
    <t>INSTITUCION EDUCATIVA PUEBLO RICO</t>
  </si>
  <si>
    <t>INSTITUCION EDUCATIVA PUEBLO RICO - SEDE PRINCIPAL</t>
  </si>
  <si>
    <t>INSTITUCION EDUCATIVA PIO XII</t>
  </si>
  <si>
    <t>POSPRIMARIA LA REINA</t>
  </si>
  <si>
    <t>INSTITUCION EDUCATIVA ESCUELA NORMAL SUPERIOR SAGRADO CORAZON</t>
  </si>
  <si>
    <t>ESCUELA ANEXA POLICARPA SALAVARRIETA</t>
  </si>
  <si>
    <t>INSTITUCION EDUCATIVA ESCUELA NORMAL SUPERIOR DE LA PRESENTACION</t>
  </si>
  <si>
    <t>INSTITUCION EDUCATIVA ESC. NORMAL SUPERIOR DE LA PRESENTACION - SEDE PRINCIPAL</t>
  </si>
  <si>
    <t>INSTITUCION EDUCATIVA OCUZCA</t>
  </si>
  <si>
    <t>LA TOLDA</t>
  </si>
  <si>
    <t>INSTITUCION EDUCATIVA LA ESTRELLA</t>
  </si>
  <si>
    <t>ESCUELA RURAL QUIEBRA DE ROQUE</t>
  </si>
  <si>
    <t>INSTITUCION EDUCATIVA FRANCISCO JOSE DE CALDAS</t>
  </si>
  <si>
    <t>INSTITUCIÓN EDUCATIVA FRANCISCO JOSE DE CALDAS - SEDE PRINCIPAL</t>
  </si>
  <si>
    <t>INSTITUCION EDUCATIVA NEIRA</t>
  </si>
  <si>
    <t>ESCUELA JOSÉ MARÍA CÓRDOBA</t>
  </si>
  <si>
    <t>INSTITUCION EDUCATIVA EL MADROÑO</t>
  </si>
  <si>
    <t>INSTITUCION EDUCATIVA EL MADROÑO - SEDE PRINCIPAL</t>
  </si>
  <si>
    <t>INSTITUCION EDUCATIVA PATIO BONITO</t>
  </si>
  <si>
    <t>INSTITUCION EDUCATIVA PATIO BONITO - SEDE PRINCIPAL</t>
  </si>
  <si>
    <t>INSTITUCION EDUCATIVA EL JAPON</t>
  </si>
  <si>
    <t>INSTITUCION EDUCATIVA EL JAPON - SEDE PRINCIPAL</t>
  </si>
  <si>
    <t>INSTITUCION EDUCATIVA OCUZCA - SEDE PRINCIPAL</t>
  </si>
  <si>
    <t>INSTITUCION EDUCATIVA LA IBERIA</t>
  </si>
  <si>
    <t>CENTRO EDUCATIVO PORTACHUELO - SEDE PRINCIPAL</t>
  </si>
  <si>
    <t>INSTITUCION EDUCATIVA ALEGRIAS</t>
  </si>
  <si>
    <t>INSTITUCION EDUCATIVA ALEGRIAS - SEDE PRINCIPAL</t>
  </si>
  <si>
    <t>INSTITUCION EDUCATIVA GENERAL RAMON MARIN</t>
  </si>
  <si>
    <t>INSTITUCION EDUCATIVA GENERAL RAMON MARIN - SEDE PRINCIPAL</t>
  </si>
  <si>
    <t>INSTITUCION EDUCATIVA SIPIRRA</t>
  </si>
  <si>
    <t>INSTITUCIÓN EDUCATIVA SIPIRRA - SEDE PRINCIPAL</t>
  </si>
  <si>
    <t>INSTITUCION EDUCATIVA QUIEBRA DE SANTA BARBARA</t>
  </si>
  <si>
    <t>INSTITUCION EDUCATIVA QUIEBRA DE SANTA BARBARA - SEDE PRINCIPAL</t>
  </si>
  <si>
    <t>INSTITUCION EDUCATIVA ENCIMADAS</t>
  </si>
  <si>
    <t>INSTITUCION EDUCATIVA ENCIMADAS - SEDE PRINCIPAL</t>
  </si>
  <si>
    <t>CTE</t>
  </si>
  <si>
    <t>INSTITUCION EDUCATIVA CAÑAMOMO Y LOMAPRIETA</t>
  </si>
  <si>
    <t>INSTITUCION EDUCATIVA CAÑAMOMO Y LOMAPRIETA - SEDE PRINCIPAL</t>
  </si>
  <si>
    <t>INSTITUCION EDUCATIVA LAS COLES</t>
  </si>
  <si>
    <t>CENTRO EDUCATIVO LOS MEDIOS</t>
  </si>
  <si>
    <t>INSTITUCION EDUCATIVA EL LLANO</t>
  </si>
  <si>
    <t>INSTITUCION EDUCATIVA EL LLANO - SEDE PRINCIPAL</t>
  </si>
  <si>
    <t>INSTITUCION EDUCATIVA ANTONIO MARIA HINCAPIE</t>
  </si>
  <si>
    <t>ESCUELA RULAR SANTA ELENA</t>
  </si>
  <si>
    <t>INSTITUCION EDUCATIVA GUARINOCITO</t>
  </si>
  <si>
    <t>INSTITUCION EDUCATIVA GUARINOCITO - SEDE PRINCIPAL</t>
  </si>
  <si>
    <t>INSTITUCION EDUCATIVA GABRIEL GARCIA MARQUEZ</t>
  </si>
  <si>
    <t>INSTITUCION EDUCATIVA GABRIEL GARCIA MARQUEZ - SEDE PRINCIPAL</t>
  </si>
  <si>
    <t>INSTITUCION EDUCATIVA MARMATO</t>
  </si>
  <si>
    <t>ESCUELA MAXIMILIANO GRILLO</t>
  </si>
  <si>
    <t>INSTITUCION EDUCATIVA LOS FUNDADORES</t>
  </si>
  <si>
    <t>INSTITUCION EDUCATIVA LOS FUNDADORES - SEDE PRINCIPAL</t>
  </si>
  <si>
    <t>INSTITUCION EDUCATIVA EFREN CARDONA CHICA</t>
  </si>
  <si>
    <t>INSTITUCION EDUCATIVA EFREN CARDONA CHICA - SEDE PRINCIPAL</t>
  </si>
  <si>
    <t>INSTITUCION EDUCATIVA PIO XII - SEDE PRINCIPAL</t>
  </si>
  <si>
    <t>INSTITUCION EDUCATIVA MARCO FIDEL SUAREZ</t>
  </si>
  <si>
    <t>INSTITUCION EDUCATIVA MARCO FIDEL SUAREZ - SEDE PRINCIPAL</t>
  </si>
  <si>
    <t>INSTITUCION EDUCATIVA LICEO CLAUDINA MUNERA</t>
  </si>
  <si>
    <t>INSTITUCION EDUCATIVA LICEO CLAUDINA MUNERA - SEDE PRINCIPAL</t>
  </si>
  <si>
    <t>INSTITUCION EDUCATIVA DANIEL MARIA LOPEZ RODRIGUEZ</t>
  </si>
  <si>
    <t>INSTITUCION EDUCATIVA DANIEL MARIA LOPEZ RODRIGUEZ - SEDE PRINCIPAL</t>
  </si>
  <si>
    <t>INSTITUCION EDUCATIVA SANTA TERESITA</t>
  </si>
  <si>
    <t>INSTITUCIÓN EDUCATIVA SANTA TERESITA - SEDE PRINCIPAL</t>
  </si>
  <si>
    <t>INSTITUCION EDUCATIVA JOHN F. KENNEDY</t>
  </si>
  <si>
    <t>COLEGIO JHON F. KENNEDY</t>
  </si>
  <si>
    <t>INSTITUCION EDUCATIVA EL TREBOL</t>
  </si>
  <si>
    <t>INSTITUCIÓN EDUCATIVA EL TREBOL - SEDE PRINCIPAL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</si>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</sst>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E4D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2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6" fillId="0" borderId="2" xfId="1" applyNumberFormat="1" applyFont="1" applyFill="1" applyBorder="1" applyAlignment="1">
      <alignment horizontal="left" vertical="center"/>
    </xf>
    <xf numFmtId="1" fontId="6" fillId="0" borderId="2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/>
    <xf numFmtId="164" fontId="7" fillId="0" borderId="2" xfId="1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1" fontId="8" fillId="0" borderId="2" xfId="1" applyNumberFormat="1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1" fontId="3" fillId="0" borderId="2" xfId="1" applyNumberFormat="1" applyFont="1" applyFill="1" applyBorder="1" applyAlignment="1">
      <alignment horizontal="left" vertical="center"/>
    </xf>
    <xf numFmtId="1" fontId="3" fillId="0" borderId="2" xfId="1" applyNumberFormat="1" applyFont="1" applyFill="1" applyBorder="1" applyAlignment="1">
      <alignment horizontal="center" vertical="center"/>
    </xf>
    <xf numFmtId="164" fontId="0" fillId="0" borderId="2" xfId="2" applyNumberFormat="1" applyFont="1" applyFill="1" applyBorder="1"/>
    <xf numFmtId="164" fontId="6" fillId="0" borderId="1" xfId="1" applyNumberFormat="1" applyFont="1" applyFill="1" applyBorder="1" applyAlignment="1"/>
    <xf numFmtId="164" fontId="7" fillId="0" borderId="1" xfId="1" applyNumberFormat="1" applyFont="1" applyFill="1" applyBorder="1" applyAlignment="1">
      <alignment horizontal="center"/>
    </xf>
    <xf numFmtId="0" fontId="2" fillId="0" borderId="3" xfId="0" applyFont="1" applyBorder="1"/>
    <xf numFmtId="164" fontId="2" fillId="0" borderId="4" xfId="0" applyNumberFormat="1" applyFont="1" applyBorder="1"/>
  </cellXfs>
  <cellStyles count="3">
    <cellStyle name="Millares" xfId="1" builtinId="3"/>
    <cellStyle name="Millares 2" xfId="2" xr:uid="{95DC6CD2-7FC6-4087-ACB8-650DD83E0DC5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09AD7F9-55F2-4757-9D36-3A7D11EA40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8519-F620-4F68-969D-5F635EF2C39B}">
  <dimension ref="A1:AL44"/>
  <sheetViews>
    <sheetView tabSelected="1" workbookViewId="0">
      <selection activeCell="E15" sqref="E15"/>
    </sheetView>
  </sheetViews>
  <sheetFormatPr baseColWidth="10" defaultRowHeight="15" x14ac:dyDescent="0.25"/>
  <cols>
    <col min="1" max="1" width="6.42578125" bestFit="1" customWidth="1"/>
    <col min="2" max="2" width="7.140625" bestFit="1" customWidth="1"/>
    <col min="3" max="3" width="10.5703125" bestFit="1" customWidth="1"/>
    <col min="4" max="4" width="7.42578125" bestFit="1" customWidth="1"/>
    <col min="5" max="5" width="10.140625" bestFit="1" customWidth="1"/>
    <col min="6" max="6" width="15.28515625" bestFit="1" customWidth="1"/>
    <col min="7" max="7" width="59" bestFit="1" customWidth="1"/>
    <col min="8" max="8" width="16.7109375" customWidth="1"/>
    <col min="9" max="9" width="69.42578125" bestFit="1" customWidth="1"/>
    <col min="10" max="10" width="7.42578125" bestFit="1" customWidth="1"/>
    <col min="11" max="12" width="10.85546875" bestFit="1" customWidth="1"/>
    <col min="13" max="13" width="9" bestFit="1" customWidth="1"/>
    <col min="14" max="14" width="9.5703125" bestFit="1" customWidth="1"/>
    <col min="15" max="15" width="8.5703125" bestFit="1" customWidth="1"/>
    <col min="16" max="16" width="9.42578125" bestFit="1" customWidth="1"/>
    <col min="17" max="19" width="8.7109375" bestFit="1" customWidth="1"/>
    <col min="20" max="20" width="9.5703125" bestFit="1" customWidth="1"/>
    <col min="21" max="21" width="9.42578125" bestFit="1" customWidth="1"/>
    <col min="22" max="22" width="8.5703125" bestFit="1" customWidth="1"/>
    <col min="23" max="23" width="8.42578125" bestFit="1" customWidth="1"/>
    <col min="24" max="24" width="10.85546875" bestFit="1" customWidth="1"/>
    <col min="25" max="25" width="9.5703125" bestFit="1" customWidth="1"/>
    <col min="26" max="26" width="10.140625" bestFit="1" customWidth="1"/>
    <col min="27" max="27" width="9.140625" bestFit="1" customWidth="1"/>
    <col min="28" max="28" width="8.5703125" bestFit="1" customWidth="1"/>
    <col min="29" max="29" width="7.140625" bestFit="1" customWidth="1"/>
    <col min="30" max="30" width="9.85546875" bestFit="1" customWidth="1"/>
    <col min="31" max="32" width="9.140625" bestFit="1" customWidth="1"/>
    <col min="34" max="34" width="10.85546875" bestFit="1" customWidth="1"/>
    <col min="35" max="35" width="9.140625" bestFit="1" customWidth="1"/>
    <col min="36" max="36" width="9.85546875" bestFit="1" customWidth="1"/>
    <col min="37" max="37" width="10.42578125" bestFit="1" customWidth="1"/>
    <col min="38" max="38" width="7.85546875" bestFit="1" customWidth="1"/>
  </cols>
  <sheetData>
    <row r="1" spans="1:38" ht="146.25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63</v>
      </c>
      <c r="AL1" s="9" t="s">
        <v>36</v>
      </c>
    </row>
    <row r="2" spans="1:38" x14ac:dyDescent="0.25">
      <c r="A2" s="10" t="s">
        <v>37</v>
      </c>
      <c r="B2" s="11">
        <v>84716</v>
      </c>
      <c r="C2" s="12" t="s">
        <v>38</v>
      </c>
      <c r="D2" s="12">
        <v>17614</v>
      </c>
      <c r="E2" s="12" t="s">
        <v>54</v>
      </c>
      <c r="F2" s="13">
        <v>217614000723</v>
      </c>
      <c r="G2" s="12" t="s">
        <v>64</v>
      </c>
      <c r="H2" s="13">
        <v>217614000723</v>
      </c>
      <c r="I2" s="12" t="s">
        <v>65</v>
      </c>
      <c r="J2" s="12" t="s">
        <v>40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1</v>
      </c>
      <c r="W2" s="14">
        <v>1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4</v>
      </c>
      <c r="AI2" s="14">
        <v>0</v>
      </c>
      <c r="AJ2" s="14">
        <v>0</v>
      </c>
      <c r="AK2" s="14">
        <v>0</v>
      </c>
      <c r="AL2" s="15">
        <v>6</v>
      </c>
    </row>
    <row r="3" spans="1:38" x14ac:dyDescent="0.25">
      <c r="A3" s="10" t="s">
        <v>37</v>
      </c>
      <c r="B3" s="11">
        <v>18811</v>
      </c>
      <c r="C3" s="12" t="s">
        <v>38</v>
      </c>
      <c r="D3" s="12">
        <v>17272</v>
      </c>
      <c r="E3" s="12" t="s">
        <v>46</v>
      </c>
      <c r="F3" s="13">
        <v>217272000106</v>
      </c>
      <c r="G3" s="12" t="s">
        <v>66</v>
      </c>
      <c r="H3" s="13">
        <v>217272000106</v>
      </c>
      <c r="I3" s="12" t="s">
        <v>67</v>
      </c>
      <c r="J3" s="12" t="s">
        <v>40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1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5</v>
      </c>
      <c r="AH3" s="14">
        <v>5</v>
      </c>
      <c r="AI3" s="14">
        <v>0</v>
      </c>
      <c r="AJ3" s="14">
        <v>0</v>
      </c>
      <c r="AK3" s="14">
        <v>0</v>
      </c>
      <c r="AL3" s="15">
        <v>11</v>
      </c>
    </row>
    <row r="4" spans="1:38" x14ac:dyDescent="0.25">
      <c r="A4" s="10" t="s">
        <v>37</v>
      </c>
      <c r="B4" s="11">
        <v>9088</v>
      </c>
      <c r="C4" s="12" t="s">
        <v>38</v>
      </c>
      <c r="D4" s="12">
        <v>17042</v>
      </c>
      <c r="E4" s="12" t="s">
        <v>43</v>
      </c>
      <c r="F4" s="13">
        <v>217042000913</v>
      </c>
      <c r="G4" s="12" t="s">
        <v>68</v>
      </c>
      <c r="H4" s="13">
        <v>217042000255</v>
      </c>
      <c r="I4" s="12" t="s">
        <v>69</v>
      </c>
      <c r="J4" s="12" t="s">
        <v>40</v>
      </c>
      <c r="K4" s="14">
        <v>1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1</v>
      </c>
      <c r="S4" s="14">
        <v>1</v>
      </c>
      <c r="T4" s="14">
        <v>0</v>
      </c>
      <c r="U4" s="14">
        <v>0</v>
      </c>
      <c r="V4" s="14">
        <v>1</v>
      </c>
      <c r="W4" s="14">
        <v>1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5">
        <v>5</v>
      </c>
    </row>
    <row r="5" spans="1:38" x14ac:dyDescent="0.25">
      <c r="A5" s="10" t="s">
        <v>37</v>
      </c>
      <c r="B5" s="11">
        <v>33402</v>
      </c>
      <c r="C5" s="12" t="s">
        <v>38</v>
      </c>
      <c r="D5" s="12">
        <v>17662</v>
      </c>
      <c r="E5" s="12" t="s">
        <v>56</v>
      </c>
      <c r="F5" s="13">
        <v>217662000689</v>
      </c>
      <c r="G5" s="12" t="s">
        <v>70</v>
      </c>
      <c r="H5" s="13">
        <v>217662000026</v>
      </c>
      <c r="I5" s="12" t="s">
        <v>71</v>
      </c>
      <c r="J5" s="12" t="s">
        <v>40</v>
      </c>
      <c r="K5" s="14">
        <v>0</v>
      </c>
      <c r="L5" s="14">
        <v>0</v>
      </c>
      <c r="M5" s="14">
        <v>1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5">
        <v>1</v>
      </c>
    </row>
    <row r="6" spans="1:38" x14ac:dyDescent="0.25">
      <c r="A6" s="10" t="s">
        <v>37</v>
      </c>
      <c r="B6" s="11">
        <v>32741</v>
      </c>
      <c r="C6" s="12" t="s">
        <v>38</v>
      </c>
      <c r="D6" s="12">
        <v>17088</v>
      </c>
      <c r="E6" s="12" t="s">
        <v>45</v>
      </c>
      <c r="F6" s="13">
        <v>117088000255</v>
      </c>
      <c r="G6" s="12" t="s">
        <v>72</v>
      </c>
      <c r="H6" s="13">
        <v>117088000255</v>
      </c>
      <c r="I6" s="12" t="s">
        <v>73</v>
      </c>
      <c r="J6" s="12" t="s">
        <v>39</v>
      </c>
      <c r="K6" s="14">
        <v>0</v>
      </c>
      <c r="L6" s="14">
        <v>1</v>
      </c>
      <c r="M6" s="14">
        <v>1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1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5">
        <v>3</v>
      </c>
    </row>
    <row r="7" spans="1:38" x14ac:dyDescent="0.25">
      <c r="A7" s="10" t="s">
        <v>37</v>
      </c>
      <c r="B7" s="11">
        <v>18497</v>
      </c>
      <c r="C7" s="12" t="s">
        <v>38</v>
      </c>
      <c r="D7" s="12">
        <v>17042</v>
      </c>
      <c r="E7" s="12" t="s">
        <v>43</v>
      </c>
      <c r="F7" s="13">
        <v>117042000552</v>
      </c>
      <c r="G7" s="12" t="s">
        <v>74</v>
      </c>
      <c r="H7" s="13">
        <v>117042000552</v>
      </c>
      <c r="I7" s="12" t="s">
        <v>75</v>
      </c>
      <c r="J7" s="12" t="s">
        <v>39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2</v>
      </c>
      <c r="AD7" s="14">
        <v>0</v>
      </c>
      <c r="AE7" s="14">
        <v>3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5">
        <v>5</v>
      </c>
    </row>
    <row r="8" spans="1:38" x14ac:dyDescent="0.25">
      <c r="A8" s="10" t="s">
        <v>37</v>
      </c>
      <c r="B8" s="11">
        <v>33518</v>
      </c>
      <c r="C8" s="12" t="s">
        <v>38</v>
      </c>
      <c r="D8" s="12">
        <v>17873</v>
      </c>
      <c r="E8" s="12" t="s">
        <v>58</v>
      </c>
      <c r="F8" s="13">
        <v>217873000375</v>
      </c>
      <c r="G8" s="12" t="s">
        <v>76</v>
      </c>
      <c r="H8" s="13">
        <v>217873000375</v>
      </c>
      <c r="I8" s="12" t="s">
        <v>77</v>
      </c>
      <c r="J8" s="12" t="s">
        <v>40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2</v>
      </c>
      <c r="AF8" s="14">
        <v>0</v>
      </c>
      <c r="AG8" s="14">
        <v>3</v>
      </c>
      <c r="AH8" s="14">
        <v>0</v>
      </c>
      <c r="AI8" s="14">
        <v>0</v>
      </c>
      <c r="AJ8" s="14">
        <v>0</v>
      </c>
      <c r="AK8" s="14">
        <v>0</v>
      </c>
      <c r="AL8" s="15">
        <v>5</v>
      </c>
    </row>
    <row r="9" spans="1:38" x14ac:dyDescent="0.25">
      <c r="A9" s="10" t="s">
        <v>37</v>
      </c>
      <c r="B9" s="11">
        <v>690</v>
      </c>
      <c r="C9" s="12" t="s">
        <v>38</v>
      </c>
      <c r="D9" s="12">
        <v>17777</v>
      </c>
      <c r="E9" s="12" t="s">
        <v>57</v>
      </c>
      <c r="F9" s="13">
        <v>117777000734</v>
      </c>
      <c r="G9" s="12" t="s">
        <v>78</v>
      </c>
      <c r="H9" s="13">
        <v>117777000734</v>
      </c>
      <c r="I9" s="12" t="s">
        <v>79</v>
      </c>
      <c r="J9" s="12" t="s">
        <v>39</v>
      </c>
      <c r="K9" s="14">
        <v>0</v>
      </c>
      <c r="L9" s="14">
        <v>0</v>
      </c>
      <c r="M9" s="14">
        <v>0</v>
      </c>
      <c r="N9" s="14">
        <v>1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1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5">
        <v>2</v>
      </c>
    </row>
    <row r="10" spans="1:38" x14ac:dyDescent="0.25">
      <c r="A10" s="10" t="s">
        <v>37</v>
      </c>
      <c r="B10" s="11">
        <v>86474</v>
      </c>
      <c r="C10" s="12" t="s">
        <v>38</v>
      </c>
      <c r="D10" s="12">
        <v>17486</v>
      </c>
      <c r="E10" s="12" t="s">
        <v>50</v>
      </c>
      <c r="F10" s="13">
        <v>217486000651</v>
      </c>
      <c r="G10" s="12" t="s">
        <v>80</v>
      </c>
      <c r="H10" s="13">
        <v>217486000651</v>
      </c>
      <c r="I10" s="12" t="s">
        <v>81</v>
      </c>
      <c r="J10" s="12" t="s">
        <v>40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1</v>
      </c>
      <c r="Q10" s="14">
        <v>1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1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5">
        <v>3</v>
      </c>
    </row>
    <row r="11" spans="1:38" x14ac:dyDescent="0.25">
      <c r="A11" s="10" t="s">
        <v>37</v>
      </c>
      <c r="B11" s="11">
        <v>10704</v>
      </c>
      <c r="C11" s="12" t="s">
        <v>38</v>
      </c>
      <c r="D11" s="12">
        <v>17662</v>
      </c>
      <c r="E11" s="12" t="s">
        <v>56</v>
      </c>
      <c r="F11" s="13">
        <v>217662002801</v>
      </c>
      <c r="G11" s="12" t="s">
        <v>82</v>
      </c>
      <c r="H11" s="13">
        <v>217662000590</v>
      </c>
      <c r="I11" s="12" t="s">
        <v>83</v>
      </c>
      <c r="J11" s="12" t="s">
        <v>40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1</v>
      </c>
      <c r="Q11" s="14">
        <v>1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1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5">
        <v>3</v>
      </c>
    </row>
    <row r="12" spans="1:38" x14ac:dyDescent="0.25">
      <c r="A12" s="10" t="s">
        <v>37</v>
      </c>
      <c r="B12" s="11">
        <v>16136</v>
      </c>
      <c r="C12" s="12" t="s">
        <v>38</v>
      </c>
      <c r="D12" s="12">
        <v>17050</v>
      </c>
      <c r="E12" s="12" t="s">
        <v>44</v>
      </c>
      <c r="F12" s="13">
        <v>117050000316</v>
      </c>
      <c r="G12" s="12" t="s">
        <v>84</v>
      </c>
      <c r="H12" s="13">
        <v>117050000278</v>
      </c>
      <c r="I12" s="12" t="s">
        <v>85</v>
      </c>
      <c r="J12" s="12" t="s">
        <v>39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5</v>
      </c>
      <c r="AH12" s="14">
        <v>5</v>
      </c>
      <c r="AI12" s="14">
        <v>0</v>
      </c>
      <c r="AJ12" s="14">
        <v>0</v>
      </c>
      <c r="AK12" s="14">
        <v>0</v>
      </c>
      <c r="AL12" s="15">
        <v>11</v>
      </c>
    </row>
    <row r="13" spans="1:38" x14ac:dyDescent="0.25">
      <c r="A13" s="10" t="s">
        <v>37</v>
      </c>
      <c r="B13" s="11">
        <v>84723</v>
      </c>
      <c r="C13" s="12" t="s">
        <v>38</v>
      </c>
      <c r="D13" s="12">
        <v>17541</v>
      </c>
      <c r="E13" s="12" t="s">
        <v>53</v>
      </c>
      <c r="F13" s="13">
        <v>117541000652</v>
      </c>
      <c r="G13" s="12" t="s">
        <v>86</v>
      </c>
      <c r="H13" s="13">
        <v>117541000652</v>
      </c>
      <c r="I13" s="12" t="s">
        <v>87</v>
      </c>
      <c r="J13" s="12" t="s">
        <v>39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1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5">
        <v>1</v>
      </c>
    </row>
    <row r="14" spans="1:38" x14ac:dyDescent="0.25">
      <c r="A14" s="10" t="s">
        <v>37</v>
      </c>
      <c r="B14" s="11">
        <v>32691</v>
      </c>
      <c r="C14" s="12" t="s">
        <v>38</v>
      </c>
      <c r="D14" s="12">
        <v>17042</v>
      </c>
      <c r="E14" s="12" t="s">
        <v>43</v>
      </c>
      <c r="F14" s="13">
        <v>217042000107</v>
      </c>
      <c r="G14" s="12" t="s">
        <v>88</v>
      </c>
      <c r="H14" s="13">
        <v>217042000760</v>
      </c>
      <c r="I14" s="12" t="s">
        <v>89</v>
      </c>
      <c r="J14" s="12" t="s">
        <v>40</v>
      </c>
      <c r="K14" s="14">
        <v>1</v>
      </c>
      <c r="L14" s="14">
        <v>0</v>
      </c>
      <c r="M14" s="14">
        <v>0</v>
      </c>
      <c r="N14" s="14">
        <v>1</v>
      </c>
      <c r="O14" s="14">
        <v>0</v>
      </c>
      <c r="P14" s="14">
        <v>0</v>
      </c>
      <c r="Q14" s="14">
        <v>0</v>
      </c>
      <c r="R14" s="14">
        <v>1</v>
      </c>
      <c r="S14" s="14">
        <v>1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5">
        <v>4</v>
      </c>
    </row>
    <row r="15" spans="1:38" x14ac:dyDescent="0.25">
      <c r="A15" s="10" t="s">
        <v>37</v>
      </c>
      <c r="B15" s="11">
        <v>33093</v>
      </c>
      <c r="C15" s="12" t="s">
        <v>38</v>
      </c>
      <c r="D15" s="12">
        <v>17495</v>
      </c>
      <c r="E15" s="12" t="s">
        <v>51</v>
      </c>
      <c r="F15" s="13">
        <v>217662002681</v>
      </c>
      <c r="G15" s="12" t="s">
        <v>90</v>
      </c>
      <c r="H15" s="13">
        <v>217662002258</v>
      </c>
      <c r="I15" s="12" t="s">
        <v>91</v>
      </c>
      <c r="J15" s="12" t="s">
        <v>40</v>
      </c>
      <c r="K15" s="14">
        <v>1</v>
      </c>
      <c r="L15" s="14">
        <v>0</v>
      </c>
      <c r="M15" s="14">
        <v>1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5">
        <v>2</v>
      </c>
    </row>
    <row r="16" spans="1:38" x14ac:dyDescent="0.25">
      <c r="A16" s="10" t="s">
        <v>37</v>
      </c>
      <c r="B16" s="11">
        <v>10968</v>
      </c>
      <c r="C16" s="12" t="s">
        <v>38</v>
      </c>
      <c r="D16" s="12">
        <v>17513</v>
      </c>
      <c r="E16" s="12" t="s">
        <v>52</v>
      </c>
      <c r="F16" s="13">
        <v>217513000676</v>
      </c>
      <c r="G16" s="12" t="s">
        <v>92</v>
      </c>
      <c r="H16" s="13">
        <v>217513000676</v>
      </c>
      <c r="I16" s="12" t="s">
        <v>93</v>
      </c>
      <c r="J16" s="12" t="s">
        <v>40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2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5">
        <v>2</v>
      </c>
    </row>
    <row r="17" spans="1:38" x14ac:dyDescent="0.25">
      <c r="A17" s="10" t="s">
        <v>37</v>
      </c>
      <c r="B17" s="11">
        <v>6670</v>
      </c>
      <c r="C17" s="12" t="s">
        <v>38</v>
      </c>
      <c r="D17" s="12">
        <v>17486</v>
      </c>
      <c r="E17" s="12" t="s">
        <v>50</v>
      </c>
      <c r="F17" s="13">
        <v>117486000877</v>
      </c>
      <c r="G17" s="12" t="s">
        <v>94</v>
      </c>
      <c r="H17" s="13">
        <v>117486000028</v>
      </c>
      <c r="I17" s="12" t="s">
        <v>95</v>
      </c>
      <c r="J17" s="12" t="s">
        <v>39</v>
      </c>
      <c r="K17" s="14">
        <v>0</v>
      </c>
      <c r="L17" s="14">
        <v>0</v>
      </c>
      <c r="M17" s="14">
        <v>1</v>
      </c>
      <c r="N17" s="14">
        <v>0</v>
      </c>
      <c r="O17" s="14">
        <v>0</v>
      </c>
      <c r="P17" s="14">
        <v>0</v>
      </c>
      <c r="Q17" s="14">
        <v>0</v>
      </c>
      <c r="R17" s="14">
        <v>1</v>
      </c>
      <c r="S17" s="14">
        <v>1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5">
        <v>3</v>
      </c>
    </row>
    <row r="18" spans="1:38" x14ac:dyDescent="0.25">
      <c r="A18" s="10" t="s">
        <v>37</v>
      </c>
      <c r="B18" s="11">
        <v>13813</v>
      </c>
      <c r="C18" s="12" t="s">
        <v>38</v>
      </c>
      <c r="D18" s="12">
        <v>17088</v>
      </c>
      <c r="E18" s="12" t="s">
        <v>45</v>
      </c>
      <c r="F18" s="13">
        <v>217088000098</v>
      </c>
      <c r="G18" s="12" t="s">
        <v>96</v>
      </c>
      <c r="H18" s="13">
        <v>217088000098</v>
      </c>
      <c r="I18" s="12" t="s">
        <v>97</v>
      </c>
      <c r="J18" s="12" t="s">
        <v>40</v>
      </c>
      <c r="K18" s="14">
        <v>0</v>
      </c>
      <c r="L18" s="14">
        <v>0</v>
      </c>
      <c r="M18" s="14">
        <v>0</v>
      </c>
      <c r="N18" s="14">
        <v>0</v>
      </c>
      <c r="O18" s="14">
        <v>1</v>
      </c>
      <c r="P18" s="14">
        <v>1</v>
      </c>
      <c r="Q18" s="14">
        <v>1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5">
        <v>3</v>
      </c>
    </row>
    <row r="19" spans="1:38" x14ac:dyDescent="0.25">
      <c r="A19" s="10" t="s">
        <v>37</v>
      </c>
      <c r="B19" s="11">
        <v>14234</v>
      </c>
      <c r="C19" s="12" t="s">
        <v>38</v>
      </c>
      <c r="D19" s="12">
        <v>17444</v>
      </c>
      <c r="E19" s="12" t="s">
        <v>49</v>
      </c>
      <c r="F19" s="13">
        <v>217444000278</v>
      </c>
      <c r="G19" s="12" t="s">
        <v>98</v>
      </c>
      <c r="H19" s="13">
        <v>217444000278</v>
      </c>
      <c r="I19" s="12" t="s">
        <v>99</v>
      </c>
      <c r="J19" s="12" t="s">
        <v>40</v>
      </c>
      <c r="K19" s="14">
        <v>0</v>
      </c>
      <c r="L19" s="14">
        <v>0</v>
      </c>
      <c r="M19" s="14">
        <v>0</v>
      </c>
      <c r="N19" s="14">
        <v>1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5">
        <v>1</v>
      </c>
    </row>
    <row r="20" spans="1:38" x14ac:dyDescent="0.25">
      <c r="A20" s="10" t="s">
        <v>37</v>
      </c>
      <c r="B20" s="11">
        <v>19583</v>
      </c>
      <c r="C20" s="12" t="s">
        <v>38</v>
      </c>
      <c r="D20" s="12">
        <v>17380</v>
      </c>
      <c r="E20" s="12" t="s">
        <v>47</v>
      </c>
      <c r="F20" s="13">
        <v>217380000040</v>
      </c>
      <c r="G20" s="12" t="s">
        <v>100</v>
      </c>
      <c r="H20" s="13">
        <v>217380000040</v>
      </c>
      <c r="I20" s="12" t="s">
        <v>101</v>
      </c>
      <c r="J20" s="12" t="s">
        <v>40</v>
      </c>
      <c r="K20" s="14">
        <v>0</v>
      </c>
      <c r="L20" s="14">
        <v>0</v>
      </c>
      <c r="M20" s="14">
        <v>0</v>
      </c>
      <c r="N20" s="14">
        <v>1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5">
        <v>1</v>
      </c>
    </row>
    <row r="21" spans="1:38" x14ac:dyDescent="0.25">
      <c r="A21" s="10" t="s">
        <v>37</v>
      </c>
      <c r="B21" s="11">
        <v>8951</v>
      </c>
      <c r="C21" s="12" t="s">
        <v>38</v>
      </c>
      <c r="D21" s="12">
        <v>17042</v>
      </c>
      <c r="E21" s="12" t="s">
        <v>43</v>
      </c>
      <c r="F21" s="13">
        <v>217042000107</v>
      </c>
      <c r="G21" s="12" t="s">
        <v>88</v>
      </c>
      <c r="H21" s="13">
        <v>217042000107</v>
      </c>
      <c r="I21" s="12" t="s">
        <v>102</v>
      </c>
      <c r="J21" s="12" t="s">
        <v>40</v>
      </c>
      <c r="K21" s="14">
        <v>0</v>
      </c>
      <c r="L21" s="14">
        <v>1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1</v>
      </c>
      <c r="S21" s="14">
        <v>1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3</v>
      </c>
      <c r="AF21" s="14">
        <v>0</v>
      </c>
      <c r="AG21" s="14">
        <v>3</v>
      </c>
      <c r="AH21" s="14">
        <v>0</v>
      </c>
      <c r="AI21" s="14">
        <v>0</v>
      </c>
      <c r="AJ21" s="14">
        <v>0</v>
      </c>
      <c r="AK21" s="14">
        <v>0</v>
      </c>
      <c r="AL21" s="15">
        <v>9</v>
      </c>
    </row>
    <row r="22" spans="1:38" x14ac:dyDescent="0.25">
      <c r="A22" s="10" t="s">
        <v>41</v>
      </c>
      <c r="B22" s="16">
        <v>14892</v>
      </c>
      <c r="C22" s="17" t="s">
        <v>38</v>
      </c>
      <c r="D22" s="17">
        <v>17614</v>
      </c>
      <c r="E22" s="17" t="s">
        <v>54</v>
      </c>
      <c r="F22" s="18">
        <v>217614000928</v>
      </c>
      <c r="G22" s="17" t="s">
        <v>103</v>
      </c>
      <c r="H22" s="19">
        <v>217614000391</v>
      </c>
      <c r="I22" s="17" t="s">
        <v>104</v>
      </c>
      <c r="J22" s="17" t="s">
        <v>40</v>
      </c>
      <c r="K22" s="14">
        <v>1</v>
      </c>
      <c r="L22" s="14">
        <v>0</v>
      </c>
      <c r="M22" s="14">
        <v>1</v>
      </c>
      <c r="N22" s="14">
        <v>0</v>
      </c>
      <c r="O22" s="14">
        <v>0</v>
      </c>
      <c r="P22" s="14">
        <v>0</v>
      </c>
      <c r="Q22" s="14">
        <v>0</v>
      </c>
      <c r="R22" s="14">
        <v>1</v>
      </c>
      <c r="S22" s="14">
        <v>1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5">
        <v>4</v>
      </c>
    </row>
    <row r="23" spans="1:38" x14ac:dyDescent="0.25">
      <c r="A23" s="10" t="s">
        <v>41</v>
      </c>
      <c r="B23" s="16">
        <v>32704</v>
      </c>
      <c r="C23" s="17" t="s">
        <v>38</v>
      </c>
      <c r="D23" s="12">
        <v>17050</v>
      </c>
      <c r="E23" s="17" t="s">
        <v>44</v>
      </c>
      <c r="F23" s="18">
        <v>217050000400</v>
      </c>
      <c r="G23" s="17" t="s">
        <v>105</v>
      </c>
      <c r="H23" s="19">
        <v>217050000400</v>
      </c>
      <c r="I23" s="17" t="s">
        <v>106</v>
      </c>
      <c r="J23" s="17" t="s">
        <v>40</v>
      </c>
      <c r="K23" s="14">
        <v>1</v>
      </c>
      <c r="L23" s="14">
        <v>0</v>
      </c>
      <c r="M23" s="14">
        <v>1</v>
      </c>
      <c r="N23" s="14">
        <v>0</v>
      </c>
      <c r="O23" s="14">
        <v>0</v>
      </c>
      <c r="P23" s="14">
        <v>0</v>
      </c>
      <c r="Q23" s="14">
        <v>0</v>
      </c>
      <c r="R23" s="14">
        <v>1</v>
      </c>
      <c r="S23" s="14">
        <v>1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5">
        <v>4</v>
      </c>
    </row>
    <row r="24" spans="1:38" x14ac:dyDescent="0.25">
      <c r="A24" s="10" t="s">
        <v>41</v>
      </c>
      <c r="B24" s="16">
        <v>32992</v>
      </c>
      <c r="C24" s="17" t="s">
        <v>38</v>
      </c>
      <c r="D24" s="12">
        <v>17442</v>
      </c>
      <c r="E24" s="17" t="s">
        <v>48</v>
      </c>
      <c r="F24" s="18">
        <v>217442000246</v>
      </c>
      <c r="G24" s="17" t="s">
        <v>107</v>
      </c>
      <c r="H24" s="19">
        <v>217442000246</v>
      </c>
      <c r="I24" s="17" t="s">
        <v>108</v>
      </c>
      <c r="J24" s="17" t="s">
        <v>40</v>
      </c>
      <c r="K24" s="14">
        <v>1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1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1</v>
      </c>
      <c r="AH24" s="14">
        <v>0</v>
      </c>
      <c r="AI24" s="14">
        <v>0</v>
      </c>
      <c r="AJ24" s="14">
        <v>0</v>
      </c>
      <c r="AK24" s="14">
        <v>0</v>
      </c>
      <c r="AL24" s="15">
        <v>3</v>
      </c>
    </row>
    <row r="25" spans="1:38" x14ac:dyDescent="0.25">
      <c r="A25" s="10" t="s">
        <v>41</v>
      </c>
      <c r="B25" s="16">
        <v>33235</v>
      </c>
      <c r="C25" s="17" t="s">
        <v>38</v>
      </c>
      <c r="D25" s="12">
        <v>17614</v>
      </c>
      <c r="E25" s="17" t="s">
        <v>54</v>
      </c>
      <c r="F25" s="18">
        <v>217614000201</v>
      </c>
      <c r="G25" s="17" t="s">
        <v>109</v>
      </c>
      <c r="H25" s="19">
        <v>217614000201</v>
      </c>
      <c r="I25" s="17" t="s">
        <v>110</v>
      </c>
      <c r="J25" s="17" t="s">
        <v>40</v>
      </c>
      <c r="K25" s="14">
        <v>1</v>
      </c>
      <c r="L25" s="14">
        <v>0</v>
      </c>
      <c r="M25" s="14">
        <v>1</v>
      </c>
      <c r="N25" s="14">
        <v>0</v>
      </c>
      <c r="O25" s="14">
        <v>1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5">
        <v>3</v>
      </c>
    </row>
    <row r="26" spans="1:38" x14ac:dyDescent="0.25">
      <c r="A26" s="10" t="s">
        <v>41</v>
      </c>
      <c r="B26" s="16">
        <v>33290</v>
      </c>
      <c r="C26" s="17" t="s">
        <v>38</v>
      </c>
      <c r="D26" s="12">
        <v>17616</v>
      </c>
      <c r="E26" s="17" t="s">
        <v>55</v>
      </c>
      <c r="F26" s="18">
        <v>217616000259</v>
      </c>
      <c r="G26" s="17" t="s">
        <v>111</v>
      </c>
      <c r="H26" s="19">
        <v>217616000259</v>
      </c>
      <c r="I26" s="17" t="s">
        <v>112</v>
      </c>
      <c r="J26" s="17" t="s">
        <v>40</v>
      </c>
      <c r="K26" s="14">
        <v>1</v>
      </c>
      <c r="L26" s="14">
        <v>0</v>
      </c>
      <c r="M26" s="14">
        <v>1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1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5">
        <v>3</v>
      </c>
    </row>
    <row r="27" spans="1:38" x14ac:dyDescent="0.25">
      <c r="A27" s="10" t="s">
        <v>41</v>
      </c>
      <c r="B27" s="16">
        <v>19768</v>
      </c>
      <c r="C27" s="17" t="s">
        <v>38</v>
      </c>
      <c r="D27" s="12">
        <v>17662</v>
      </c>
      <c r="E27" s="17" t="s">
        <v>56</v>
      </c>
      <c r="F27" s="18">
        <v>217662000093</v>
      </c>
      <c r="G27" s="17" t="s">
        <v>113</v>
      </c>
      <c r="H27" s="19">
        <v>217662000093</v>
      </c>
      <c r="I27" s="17" t="s">
        <v>114</v>
      </c>
      <c r="J27" s="17" t="s">
        <v>40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1</v>
      </c>
      <c r="Q27" s="14">
        <v>1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1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5">
        <v>3</v>
      </c>
    </row>
    <row r="28" spans="1:38" x14ac:dyDescent="0.25">
      <c r="A28" s="10" t="s">
        <v>115</v>
      </c>
      <c r="B28" s="16">
        <v>689</v>
      </c>
      <c r="C28" s="17" t="s">
        <v>38</v>
      </c>
      <c r="D28" s="12">
        <v>17777</v>
      </c>
      <c r="E28" s="17" t="s">
        <v>57</v>
      </c>
      <c r="F28" s="18">
        <v>217777000089</v>
      </c>
      <c r="G28" s="17" t="s">
        <v>116</v>
      </c>
      <c r="H28" s="19">
        <v>217777000089</v>
      </c>
      <c r="I28" s="17" t="s">
        <v>117</v>
      </c>
      <c r="J28" s="17" t="s">
        <v>40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1</v>
      </c>
      <c r="Q28" s="14">
        <v>1</v>
      </c>
      <c r="R28" s="14">
        <v>0</v>
      </c>
      <c r="S28" s="14">
        <v>0</v>
      </c>
      <c r="T28" s="14">
        <v>0</v>
      </c>
      <c r="U28" s="14">
        <v>0</v>
      </c>
      <c r="V28" s="14">
        <v>1</v>
      </c>
      <c r="W28" s="14">
        <v>1</v>
      </c>
      <c r="X28" s="14">
        <v>2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5">
        <v>6</v>
      </c>
    </row>
    <row r="29" spans="1:38" x14ac:dyDescent="0.25">
      <c r="A29" s="10" t="s">
        <v>115</v>
      </c>
      <c r="B29" s="16">
        <v>33110</v>
      </c>
      <c r="C29" s="17" t="s">
        <v>38</v>
      </c>
      <c r="D29" s="17">
        <v>17513</v>
      </c>
      <c r="E29" s="17" t="s">
        <v>52</v>
      </c>
      <c r="F29" s="18">
        <v>217513000722</v>
      </c>
      <c r="G29" s="17" t="s">
        <v>118</v>
      </c>
      <c r="H29" s="19">
        <v>217513000064</v>
      </c>
      <c r="I29" s="17" t="s">
        <v>119</v>
      </c>
      <c r="J29" s="17" t="s">
        <v>40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1</v>
      </c>
      <c r="Q29" s="14">
        <v>1</v>
      </c>
      <c r="R29" s="14">
        <v>0</v>
      </c>
      <c r="S29" s="14">
        <v>0</v>
      </c>
      <c r="T29" s="14">
        <v>0</v>
      </c>
      <c r="U29" s="14">
        <v>0</v>
      </c>
      <c r="V29" s="14">
        <v>1</v>
      </c>
      <c r="W29" s="14">
        <v>1</v>
      </c>
      <c r="X29" s="14">
        <v>2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5">
        <v>6</v>
      </c>
    </row>
    <row r="30" spans="1:38" x14ac:dyDescent="0.25">
      <c r="A30" s="20" t="s">
        <v>42</v>
      </c>
      <c r="B30" s="1">
        <v>32991</v>
      </c>
      <c r="C30" s="21" t="s">
        <v>38</v>
      </c>
      <c r="D30" s="21">
        <v>17442</v>
      </c>
      <c r="E30" s="21" t="s">
        <v>48</v>
      </c>
      <c r="F30" s="22">
        <v>217442000033</v>
      </c>
      <c r="G30" s="21" t="s">
        <v>120</v>
      </c>
      <c r="H30" s="22">
        <v>217442000033</v>
      </c>
      <c r="I30" s="21" t="s">
        <v>121</v>
      </c>
      <c r="J30" s="21" t="s">
        <v>40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1</v>
      </c>
      <c r="S30" s="14">
        <v>1</v>
      </c>
      <c r="T30" s="14">
        <v>0</v>
      </c>
      <c r="U30" s="14">
        <v>0</v>
      </c>
      <c r="V30" s="14">
        <v>1</v>
      </c>
      <c r="W30" s="14">
        <v>1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23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5">
        <v>4</v>
      </c>
    </row>
    <row r="31" spans="1:38" x14ac:dyDescent="0.25">
      <c r="A31" s="20" t="s">
        <v>42</v>
      </c>
      <c r="B31" s="1">
        <v>33005</v>
      </c>
      <c r="C31" s="21" t="s">
        <v>38</v>
      </c>
      <c r="D31" s="21">
        <v>17444</v>
      </c>
      <c r="E31" s="21" t="s">
        <v>49</v>
      </c>
      <c r="F31" s="22">
        <v>217444000821</v>
      </c>
      <c r="G31" s="21" t="s">
        <v>122</v>
      </c>
      <c r="H31" s="22">
        <v>217444000014</v>
      </c>
      <c r="I31" s="21" t="s">
        <v>123</v>
      </c>
      <c r="J31" s="21" t="s">
        <v>40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1</v>
      </c>
      <c r="S31" s="14">
        <v>1</v>
      </c>
      <c r="T31" s="14">
        <v>0</v>
      </c>
      <c r="U31" s="14">
        <v>0</v>
      </c>
      <c r="V31" s="14">
        <v>1</v>
      </c>
      <c r="W31" s="14">
        <v>1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23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5">
        <v>4</v>
      </c>
    </row>
    <row r="32" spans="1:38" x14ac:dyDescent="0.25">
      <c r="A32" s="20" t="s">
        <v>42</v>
      </c>
      <c r="B32" s="1">
        <v>8474</v>
      </c>
      <c r="C32" s="21" t="s">
        <v>38</v>
      </c>
      <c r="D32" s="21">
        <v>17380</v>
      </c>
      <c r="E32" s="21" t="s">
        <v>47</v>
      </c>
      <c r="F32" s="22">
        <v>217380000856</v>
      </c>
      <c r="G32" s="21" t="s">
        <v>124</v>
      </c>
      <c r="H32" s="22">
        <v>217380000856</v>
      </c>
      <c r="I32" s="21" t="s">
        <v>125</v>
      </c>
      <c r="J32" s="21" t="s">
        <v>40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1</v>
      </c>
      <c r="AC32" s="14">
        <v>0</v>
      </c>
      <c r="AD32" s="14">
        <v>1</v>
      </c>
      <c r="AE32" s="14">
        <v>0</v>
      </c>
      <c r="AF32" s="23">
        <v>0</v>
      </c>
      <c r="AG32" s="14">
        <v>0</v>
      </c>
      <c r="AH32" s="2">
        <v>1</v>
      </c>
      <c r="AI32" s="14">
        <v>0</v>
      </c>
      <c r="AJ32" s="14">
        <v>0</v>
      </c>
      <c r="AK32" s="14">
        <v>0</v>
      </c>
      <c r="AL32" s="15">
        <v>3</v>
      </c>
    </row>
    <row r="33" spans="1:38" x14ac:dyDescent="0.25">
      <c r="A33" s="20" t="s">
        <v>42</v>
      </c>
      <c r="B33" s="1">
        <v>33302</v>
      </c>
      <c r="C33" s="21" t="s">
        <v>38</v>
      </c>
      <c r="D33" s="21">
        <v>17616</v>
      </c>
      <c r="E33" s="21" t="s">
        <v>55</v>
      </c>
      <c r="F33" s="22">
        <v>217616000046</v>
      </c>
      <c r="G33" s="21" t="s">
        <v>126</v>
      </c>
      <c r="H33" s="22">
        <v>217616000046</v>
      </c>
      <c r="I33" s="21" t="s">
        <v>127</v>
      </c>
      <c r="J33" s="21" t="s">
        <v>40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1</v>
      </c>
      <c r="W33" s="14">
        <v>1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23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5">
        <v>2</v>
      </c>
    </row>
    <row r="34" spans="1:38" x14ac:dyDescent="0.25">
      <c r="A34" s="20" t="s">
        <v>42</v>
      </c>
      <c r="B34" s="1">
        <v>16309</v>
      </c>
      <c r="C34" s="21" t="s">
        <v>38</v>
      </c>
      <c r="D34" s="21">
        <v>17442</v>
      </c>
      <c r="E34" s="21" t="s">
        <v>48</v>
      </c>
      <c r="F34" s="22">
        <v>117442000322</v>
      </c>
      <c r="G34" s="21" t="s">
        <v>128</v>
      </c>
      <c r="H34" s="22">
        <v>117442000063</v>
      </c>
      <c r="I34" s="21" t="s">
        <v>129</v>
      </c>
      <c r="J34" s="21" t="s">
        <v>39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1</v>
      </c>
      <c r="S34" s="14">
        <v>1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23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4</v>
      </c>
      <c r="AL34" s="15">
        <v>6</v>
      </c>
    </row>
    <row r="35" spans="1:38" x14ac:dyDescent="0.25">
      <c r="A35" s="20" t="s">
        <v>42</v>
      </c>
      <c r="B35" s="1">
        <v>84728</v>
      </c>
      <c r="C35" s="21" t="s">
        <v>38</v>
      </c>
      <c r="D35" s="21">
        <v>17614</v>
      </c>
      <c r="E35" s="21" t="s">
        <v>54</v>
      </c>
      <c r="F35" s="22">
        <v>117614000711</v>
      </c>
      <c r="G35" s="21" t="s">
        <v>130</v>
      </c>
      <c r="H35" s="22">
        <v>117614000711</v>
      </c>
      <c r="I35" s="21" t="s">
        <v>131</v>
      </c>
      <c r="J35" s="21" t="s">
        <v>39</v>
      </c>
      <c r="K35" s="14">
        <v>0</v>
      </c>
      <c r="L35" s="14">
        <v>0</v>
      </c>
      <c r="M35" s="2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2">
        <v>1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23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5">
        <v>2</v>
      </c>
    </row>
    <row r="36" spans="1:38" x14ac:dyDescent="0.25">
      <c r="A36" s="20" t="s">
        <v>42</v>
      </c>
      <c r="B36" s="1">
        <v>84720</v>
      </c>
      <c r="C36" s="21" t="s">
        <v>38</v>
      </c>
      <c r="D36" s="21">
        <v>17446</v>
      </c>
      <c r="E36" s="21" t="s">
        <v>59</v>
      </c>
      <c r="F36" s="22">
        <v>117446000157</v>
      </c>
      <c r="G36" s="21" t="s">
        <v>132</v>
      </c>
      <c r="H36" s="22">
        <v>117446000157</v>
      </c>
      <c r="I36" s="21" t="s">
        <v>133</v>
      </c>
      <c r="J36" s="21" t="s">
        <v>39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1</v>
      </c>
      <c r="W36" s="14">
        <v>1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23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5">
        <v>2</v>
      </c>
    </row>
    <row r="37" spans="1:38" x14ac:dyDescent="0.25">
      <c r="A37" s="20" t="s">
        <v>42</v>
      </c>
      <c r="B37" s="1">
        <v>21329</v>
      </c>
      <c r="C37" s="21" t="s">
        <v>38</v>
      </c>
      <c r="D37" s="21">
        <v>17653</v>
      </c>
      <c r="E37" s="21" t="s">
        <v>60</v>
      </c>
      <c r="F37" s="22">
        <v>117653000663</v>
      </c>
      <c r="G37" s="21" t="s">
        <v>82</v>
      </c>
      <c r="H37" s="22">
        <v>117653000663</v>
      </c>
      <c r="I37" s="21" t="s">
        <v>134</v>
      </c>
      <c r="J37" s="21" t="s">
        <v>39</v>
      </c>
      <c r="K37" s="14">
        <v>0</v>
      </c>
      <c r="L37" s="14">
        <v>0</v>
      </c>
      <c r="M37" s="2">
        <v>1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23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5">
        <v>1</v>
      </c>
    </row>
    <row r="38" spans="1:38" x14ac:dyDescent="0.25">
      <c r="A38" s="20" t="s">
        <v>42</v>
      </c>
      <c r="B38" s="1">
        <v>33116</v>
      </c>
      <c r="C38" s="21" t="s">
        <v>38</v>
      </c>
      <c r="D38" s="21">
        <v>17513</v>
      </c>
      <c r="E38" s="21" t="s">
        <v>52</v>
      </c>
      <c r="F38" s="22">
        <v>117513000558</v>
      </c>
      <c r="G38" s="21" t="s">
        <v>135</v>
      </c>
      <c r="H38" s="22">
        <v>117513000558</v>
      </c>
      <c r="I38" s="21" t="s">
        <v>136</v>
      </c>
      <c r="J38" s="21" t="s">
        <v>39</v>
      </c>
      <c r="K38" s="14">
        <v>0</v>
      </c>
      <c r="L38" s="14">
        <v>0</v>
      </c>
      <c r="M38" s="2">
        <v>1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23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5">
        <v>1</v>
      </c>
    </row>
    <row r="39" spans="1:38" x14ac:dyDescent="0.25">
      <c r="A39" s="20" t="s">
        <v>42</v>
      </c>
      <c r="B39" s="1">
        <v>86470</v>
      </c>
      <c r="C39" s="21" t="s">
        <v>38</v>
      </c>
      <c r="D39" s="21">
        <v>17013</v>
      </c>
      <c r="E39" s="21" t="s">
        <v>61</v>
      </c>
      <c r="F39" s="22">
        <v>117013000292</v>
      </c>
      <c r="G39" s="21" t="s">
        <v>137</v>
      </c>
      <c r="H39" s="22">
        <v>117013000292</v>
      </c>
      <c r="I39" s="21" t="s">
        <v>138</v>
      </c>
      <c r="J39" s="21" t="s">
        <v>39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1</v>
      </c>
      <c r="W39" s="14">
        <v>1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23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5">
        <v>2</v>
      </c>
    </row>
    <row r="40" spans="1:38" x14ac:dyDescent="0.25">
      <c r="A40" s="20" t="s">
        <v>42</v>
      </c>
      <c r="B40" s="1">
        <v>91167</v>
      </c>
      <c r="C40" s="21" t="s">
        <v>38</v>
      </c>
      <c r="D40" s="21">
        <v>17541</v>
      </c>
      <c r="E40" s="21" t="s">
        <v>53</v>
      </c>
      <c r="F40" s="22">
        <v>217541001793</v>
      </c>
      <c r="G40" s="21" t="s">
        <v>139</v>
      </c>
      <c r="H40" s="22">
        <v>217541001793</v>
      </c>
      <c r="I40" s="21" t="s">
        <v>140</v>
      </c>
      <c r="J40" s="21" t="s">
        <v>40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1</v>
      </c>
      <c r="W40" s="14">
        <v>1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23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5">
        <v>2</v>
      </c>
    </row>
    <row r="41" spans="1:38" x14ac:dyDescent="0.25">
      <c r="A41" s="20" t="s">
        <v>42</v>
      </c>
      <c r="B41" s="1">
        <v>18499</v>
      </c>
      <c r="C41" s="21" t="s">
        <v>38</v>
      </c>
      <c r="D41" s="21">
        <v>17174</v>
      </c>
      <c r="E41" s="21" t="s">
        <v>62</v>
      </c>
      <c r="F41" s="22">
        <v>117174000349</v>
      </c>
      <c r="G41" s="21" t="s">
        <v>141</v>
      </c>
      <c r="H41" s="22">
        <v>117174000349</v>
      </c>
      <c r="I41" s="21" t="s">
        <v>142</v>
      </c>
      <c r="J41" s="21" t="s">
        <v>39</v>
      </c>
      <c r="K41" s="14">
        <v>0</v>
      </c>
      <c r="L41" s="14">
        <v>0</v>
      </c>
      <c r="M41" s="2">
        <v>1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23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5">
        <v>1</v>
      </c>
    </row>
    <row r="42" spans="1:38" x14ac:dyDescent="0.25">
      <c r="A42" s="20" t="s">
        <v>42</v>
      </c>
      <c r="B42" s="1">
        <v>83042</v>
      </c>
      <c r="C42" s="21" t="s">
        <v>38</v>
      </c>
      <c r="D42" s="21">
        <v>17541</v>
      </c>
      <c r="E42" s="21" t="s">
        <v>53</v>
      </c>
      <c r="F42" s="22">
        <v>217541000673</v>
      </c>
      <c r="G42" s="21" t="s">
        <v>143</v>
      </c>
      <c r="H42" s="22">
        <v>217541000673</v>
      </c>
      <c r="I42" s="21" t="s">
        <v>144</v>
      </c>
      <c r="J42" s="21" t="s">
        <v>40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1</v>
      </c>
      <c r="W42" s="14">
        <v>1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23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5">
        <v>2</v>
      </c>
    </row>
    <row r="43" spans="1:38" ht="15.75" thickBot="1" x14ac:dyDescent="0.3">
      <c r="A43" s="20" t="s">
        <v>42</v>
      </c>
      <c r="B43" s="1">
        <v>32747</v>
      </c>
      <c r="C43" s="21" t="s">
        <v>38</v>
      </c>
      <c r="D43" s="21">
        <v>17174</v>
      </c>
      <c r="E43" s="21" t="s">
        <v>62</v>
      </c>
      <c r="F43" s="22">
        <v>217174000432</v>
      </c>
      <c r="G43" s="21" t="s">
        <v>145</v>
      </c>
      <c r="H43" s="22">
        <v>217174000432</v>
      </c>
      <c r="I43" s="21" t="s">
        <v>146</v>
      </c>
      <c r="J43" s="21" t="s">
        <v>40</v>
      </c>
      <c r="K43" s="14">
        <v>0</v>
      </c>
      <c r="L43" s="14">
        <v>0</v>
      </c>
      <c r="M43" s="14">
        <v>0</v>
      </c>
      <c r="N43" s="14">
        <v>0</v>
      </c>
      <c r="O43" s="14">
        <v>1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23">
        <v>0</v>
      </c>
      <c r="AG43" s="14">
        <v>0</v>
      </c>
      <c r="AH43" s="14">
        <v>0</v>
      </c>
      <c r="AI43" s="14">
        <v>0</v>
      </c>
      <c r="AJ43" s="14">
        <v>0</v>
      </c>
      <c r="AK43" s="24">
        <v>0</v>
      </c>
      <c r="AL43" s="25">
        <v>1</v>
      </c>
    </row>
    <row r="44" spans="1:38" ht="15.75" thickBot="1" x14ac:dyDescent="0.3">
      <c r="AK44" s="26" t="s">
        <v>147</v>
      </c>
      <c r="AL44" s="27">
        <f>SUM(AL2:AL43)</f>
        <v>146</v>
      </c>
    </row>
  </sheetData>
  <autoFilter ref="A1:AL44" xr:uid="{86798519-F620-4F68-969D-5F635EF2C39B}"/>
  <conditionalFormatting sqref="B1:B29">
    <cfRule type="duplicateValues" dxfId="6" priority="88"/>
  </conditionalFormatting>
  <conditionalFormatting sqref="B1:B43">
    <cfRule type="duplicateValues" dxfId="5" priority="101"/>
  </conditionalFormatting>
  <conditionalFormatting sqref="B2:B29">
    <cfRule type="duplicateValues" dxfId="4" priority="96"/>
  </conditionalFormatting>
  <conditionalFormatting sqref="H1:H29">
    <cfRule type="duplicateValues" dxfId="3" priority="92"/>
  </conditionalFormatting>
  <conditionalFormatting sqref="H1:H43">
    <cfRule type="duplicateValues" dxfId="2" priority="103"/>
  </conditionalFormatting>
  <conditionalFormatting sqref="H2:H29">
    <cfRule type="duplicateValues" dxfId="1" priority="98"/>
  </conditionalFormatting>
  <conditionalFormatting sqref="H30:H43">
    <cfRule type="duplicateValues" dxfId="0" priority="9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DISTRIBUCION POR SEDES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Yuby Caterine Bohorquez Rojas</dc:creator>
  <cp:lastModifiedBy>Héctor Andres  Díaz Diazgranados</cp:lastModifiedBy>
  <dcterms:created xsi:type="dcterms:W3CDTF">2026-09-24T19:30:35Z</dcterms:created>
  <dcterms:modified xsi:type="dcterms:W3CDTF">2026-10-21T13:53:30Z</dcterms:modified>
</cp:coreProperties>
</file>