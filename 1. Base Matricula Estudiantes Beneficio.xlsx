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RV__Reporte_despacho_equipos_para_Estudiantes\"/>
    </mc:Choice>
  </mc:AlternateContent>
  <xr:revisionPtr revIDLastSave="0" documentId="13_ncr:1_{5909A486-3DEA-4CCD-BC2C-31B289C38D0F}" xr6:coauthVersionLast="47" xr6:coauthVersionMax="47" xr10:uidLastSave="{00000000-0000-0000-0000-000000000000}"/>
  <bookViews>
    <workbookView xWindow="-110" yWindow="-110" windowWidth="19420" windowHeight="10300" firstSheet="1" activeTab="1" xr2:uid="{FFE6CC5A-FC7E-48D9-A4BE-230D64F593C4}"/>
  </bookViews>
  <sheets>
    <sheet name="Lista Inicial" sheetId="1" state="hidden" r:id="rId1"/>
    <sheet name="Listado final" sheetId="2" r:id="rId2"/>
  </sheets>
  <definedNames>
    <definedName name="_xlnm._FilterDatabase" localSheetId="0" hidden="1">'Lista Inicial'!$A$2:$O$61</definedName>
    <definedName name="_xlnm._FilterDatabase" localSheetId="1" hidden="1">'Listado final'!$A$2:$O$73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Andres Lozano Caceres</author>
  </authors>
  <commentList>
    <comment ref="D2" authorId="0" shapeId="0" xr:uid="{D82AE26E-C4B5-48CC-8875-C29BDB743009}">
      <text>
        <r>
          <rPr>
            <b/>
            <sz val="9"/>
            <color indexed="81"/>
            <rFont val="Tahoma"/>
            <family val="2"/>
          </rPr>
          <t>Solamente estudiantes de grados 8, 9, 10 y 11, esto dependera de asignación de la focalización</t>
        </r>
      </text>
    </comment>
    <comment ref="H2" authorId="0" shapeId="0" xr:uid="{64850A9C-E61D-4A1C-91F3-DB13BC06DC17}">
      <text>
        <r>
          <rPr>
            <b/>
            <sz val="9"/>
            <color indexed="81"/>
            <rFont val="Tahoma"/>
            <family val="2"/>
          </rPr>
          <t>Campo que valida si el estudiante a la fecha es mayor de edad, el beneficio solo esta permitido para estudiantes menores de edad.</t>
        </r>
      </text>
    </comment>
  </commentList>
</comments>
</file>

<file path=xl/sharedStrings.xml><?xml version="1.0" encoding="utf-8"?>
<sst xmlns="http://schemas.openxmlformats.org/spreadsheetml/2006/main" count="406" uniqueCount="183">
  <si>
    <t>Información Estudiante</t>
  </si>
  <si>
    <t>Información Acudientes</t>
  </si>
  <si>
    <t>No.</t>
  </si>
  <si>
    <t>Identificación</t>
  </si>
  <si>
    <t>Nombre Estudiante</t>
  </si>
  <si>
    <t xml:space="preserve">Curso </t>
  </si>
  <si>
    <t>Clase documento</t>
  </si>
  <si>
    <t>Fecha nacimiento</t>
  </si>
  <si>
    <t>Edad Actual</t>
  </si>
  <si>
    <t>Nombre completo madre</t>
  </si>
  <si>
    <t>Cedula Madre</t>
  </si>
  <si>
    <t>número telefónico</t>
  </si>
  <si>
    <t>Nombre completo acudiente</t>
  </si>
  <si>
    <t>Cedula acudiente</t>
  </si>
  <si>
    <t>número telefónico acudiente</t>
  </si>
  <si>
    <t>Serial</t>
  </si>
  <si>
    <t xml:space="preserve">ACOSTA GARAVITO JUAN CAMILO </t>
  </si>
  <si>
    <t>8°</t>
  </si>
  <si>
    <t>T.I.</t>
  </si>
  <si>
    <t>13</t>
  </si>
  <si>
    <t>NUBIA GARAVITO</t>
  </si>
  <si>
    <t xml:space="preserve">ALARCON GONZALEZ  JOHAN ALEJANDRO </t>
  </si>
  <si>
    <t xml:space="preserve">NUBIA YASMIN GONZALEZ SARMIENTO </t>
  </si>
  <si>
    <t xml:space="preserve">BELTRAN RODRIGUEZ YULIETH ALEJANDRA </t>
  </si>
  <si>
    <t>18</t>
  </si>
  <si>
    <t xml:space="preserve">ANA DELINA BELTRAN </t>
  </si>
  <si>
    <t xml:space="preserve">BOHORQUEZ SEGURA HEIDY KATHERINE </t>
  </si>
  <si>
    <t xml:space="preserve">LUZ NEY SEGURA FANDIÑO  </t>
  </si>
  <si>
    <t xml:space="preserve">LUZ NEY SEGURA FANDIÑO </t>
  </si>
  <si>
    <t>DUARTE RODRIGUEZ DAVINSON YESID</t>
  </si>
  <si>
    <t>14</t>
  </si>
  <si>
    <t xml:space="preserve">GLORIA EVANGELINA RODRIGUEZ VARGAS </t>
  </si>
  <si>
    <t xml:space="preserve">GONZALEZ GUAVITA YEILA CAMILA </t>
  </si>
  <si>
    <t xml:space="preserve">ANA SUSANA GUAVITA JIMENEZ </t>
  </si>
  <si>
    <t xml:space="preserve">GONZALEZ VARGAS JUAN DAVID </t>
  </si>
  <si>
    <t xml:space="preserve">ALEXANDRA VARGAS PULIDO </t>
  </si>
  <si>
    <t>1032392379</t>
  </si>
  <si>
    <t>GUTIERREZ SANDOVAL ESTEFANNY YULIETH</t>
  </si>
  <si>
    <t xml:space="preserve">BLANCA NIDIA SANDOVAL LEON </t>
  </si>
  <si>
    <t>ALEXANDER GUTIERREZ</t>
  </si>
  <si>
    <t>11245128</t>
  </si>
  <si>
    <t>JIMENEZ GARAVITO YEIDEN BRIGITH</t>
  </si>
  <si>
    <t xml:space="preserve">LEIDY XIOMARA GARAVITO </t>
  </si>
  <si>
    <t>20888071</t>
  </si>
  <si>
    <t xml:space="preserve">LARA RODRIGUEZ DAYRA ANGELICA </t>
  </si>
  <si>
    <t xml:space="preserve">ROSA ADELIA RODRIGUEZ </t>
  </si>
  <si>
    <t>20`738.992</t>
  </si>
  <si>
    <t xml:space="preserve">ROSA ADELIA  RODRIGUEZ </t>
  </si>
  <si>
    <t>LARGO CASTRO HEIDY NICOLE</t>
  </si>
  <si>
    <t>MARITZA CASTRO GRACIA</t>
  </si>
  <si>
    <t>52289806</t>
  </si>
  <si>
    <t xml:space="preserve">LOPEZ MANRIQUE LUIYI ESNEIDER </t>
  </si>
  <si>
    <t>15</t>
  </si>
  <si>
    <t xml:space="preserve">MARTHA MANRIQUE </t>
  </si>
  <si>
    <t>312 578 42 70</t>
  </si>
  <si>
    <t xml:space="preserve">MORENO DIAZ OSCAR SNEIDER </t>
  </si>
  <si>
    <t>12</t>
  </si>
  <si>
    <t>LUZ MANARY DIAZ MALDONADO</t>
  </si>
  <si>
    <t>OSCAR MORENO RODRIGUEZ</t>
  </si>
  <si>
    <t>17416883</t>
  </si>
  <si>
    <t xml:space="preserve">MUÑOZ CHALA MARIA A LEJANDRA </t>
  </si>
  <si>
    <t>CAROLINA CHALA VERA</t>
  </si>
  <si>
    <t>RINCON RUBIANO YONI ERNEI</t>
  </si>
  <si>
    <t>LUZ ALBA RUBIANO BELTRAN</t>
  </si>
  <si>
    <t>GABRIEL EMILIO RINCON CASTILLO</t>
  </si>
  <si>
    <t>3155986</t>
  </si>
  <si>
    <t>RIVEROS PEÑALOZA KEVIN ALEXANDER</t>
  </si>
  <si>
    <t xml:space="preserve">YENY ROCIO PEÑALOZA CLAVIJO </t>
  </si>
  <si>
    <t xml:space="preserve">RODRIGUEZ SARMIENTO JUAN FELIPE </t>
  </si>
  <si>
    <t xml:space="preserve">ACOSTA GARAVITO ANDRES FELIPE </t>
  </si>
  <si>
    <t>9°</t>
  </si>
  <si>
    <t xml:space="preserve">NUBIA GARAVITO </t>
  </si>
  <si>
    <t xml:space="preserve">BARAJAS HERRERA KEVIN </t>
  </si>
  <si>
    <t xml:space="preserve">ANDREA HERRERA </t>
  </si>
  <si>
    <t>BOHORQUEZ MUÑOZ LINA KATHERINE</t>
  </si>
  <si>
    <t>RUTH MARISELA MUÑOZ VILLAMIL</t>
  </si>
  <si>
    <t>1073510074</t>
  </si>
  <si>
    <t xml:space="preserve">DIAZ LARA MAICOL JOHAN </t>
  </si>
  <si>
    <t>LUZ AMINTA LARA SANABRIA</t>
  </si>
  <si>
    <t>GUILIBARDO DIAZ</t>
  </si>
  <si>
    <t>3155984</t>
  </si>
  <si>
    <t xml:space="preserve">DIMATE GONZALEZ KAREN ALEXANDRA </t>
  </si>
  <si>
    <t>YAMILE GONZALEZ</t>
  </si>
  <si>
    <t xml:space="preserve">DOMINGUEZ GONZALEZ YILBER SEBASTIAN </t>
  </si>
  <si>
    <t>16</t>
  </si>
  <si>
    <t xml:space="preserve">LILIANA CECILIA GONZALEZ GONZALEZ  </t>
  </si>
  <si>
    <t>LILIANA CECILIA  GONZALEZ  G.</t>
  </si>
  <si>
    <t>1070750433</t>
  </si>
  <si>
    <t>GARZON BOHORQUEZ ANDERSON FERNEY</t>
  </si>
  <si>
    <t xml:space="preserve">MARCELA  BOHORQUEZ </t>
  </si>
  <si>
    <t xml:space="preserve">MARCELA BOHORQUEZ  </t>
  </si>
  <si>
    <t xml:space="preserve">GUERRERO GARZON YEIMY DANIELA </t>
  </si>
  <si>
    <t xml:space="preserve">GLADIS HERMINDA  GARZON HERRERA </t>
  </si>
  <si>
    <t xml:space="preserve">LUCIANO GUERRERO BELTRAN </t>
  </si>
  <si>
    <t>11245159</t>
  </si>
  <si>
    <t xml:space="preserve">GUERRERO GARZON YORMAN DAVID </t>
  </si>
  <si>
    <t xml:space="preserve">GLADIS GARZON </t>
  </si>
  <si>
    <t xml:space="preserve">GUTIERREZ RAMOS YENLY ZADAY </t>
  </si>
  <si>
    <t xml:space="preserve">TATIANA RAMOS </t>
  </si>
  <si>
    <t>GUTIERREZ   VELASQUEZ LAURA MARIANA</t>
  </si>
  <si>
    <t xml:space="preserve">KAREN SOLLANGIE VELASQUEZ </t>
  </si>
  <si>
    <t xml:space="preserve">LEAL CUITIVA ALISSON ELIANA </t>
  </si>
  <si>
    <t xml:space="preserve">YENY YULIANA CUITIVA </t>
  </si>
  <si>
    <t xml:space="preserve">LINARES MUÑOZ NAYRON YESID </t>
  </si>
  <si>
    <t xml:space="preserve">OLGA LILIANA MUÑOZ </t>
  </si>
  <si>
    <t xml:space="preserve">LILIANA MUÑOZ </t>
  </si>
  <si>
    <t xml:space="preserve">MORENO GOMEZ WENDY JULIANA </t>
  </si>
  <si>
    <t xml:space="preserve">YAMILE  GOMEZ OLMOS </t>
  </si>
  <si>
    <t>MANUEL HUMBERTO MORENO LINARES</t>
  </si>
  <si>
    <t>11245683</t>
  </si>
  <si>
    <t>MUÑOZ GUERRERO YUSBLEY JULIANA</t>
  </si>
  <si>
    <t xml:space="preserve">NANCY YAMILE  GUERRERO VEGA </t>
  </si>
  <si>
    <t>NANCY GUERRERO</t>
  </si>
  <si>
    <t>SON GARAVITO INGRID DAYANA</t>
  </si>
  <si>
    <t xml:space="preserve">ERIKA SOFIA GARAVITO CASTILLO </t>
  </si>
  <si>
    <t>VEGA CONTRERAS DERLY YISNEY</t>
  </si>
  <si>
    <t>CAROL BIBIANA CONTRERAS GARCIA</t>
  </si>
  <si>
    <t xml:space="preserve">BIBIANA CONTRERAS </t>
  </si>
  <si>
    <t>ACOSTA VALBUENA BRAYAN ALEXIS</t>
  </si>
  <si>
    <t>10°</t>
  </si>
  <si>
    <t>17</t>
  </si>
  <si>
    <t xml:space="preserve">ANGELA CONSUELO  VALBUENA MOSCOSO </t>
  </si>
  <si>
    <t>BELTRAN ALARCON LUISA ALEJANDRA</t>
  </si>
  <si>
    <t xml:space="preserve">SANDRA LILIANA ALARCON ARIAS  </t>
  </si>
  <si>
    <t xml:space="preserve">SANDRA LILIANA ALARCON ARIAS </t>
  </si>
  <si>
    <t xml:space="preserve">CASTILLO MARTINEZ YANITH XIOMARA </t>
  </si>
  <si>
    <t xml:space="preserve">LUCY YANETH MARTINEZ </t>
  </si>
  <si>
    <t xml:space="preserve">CHAPARRO QUINTERO LUIS MIGUEL </t>
  </si>
  <si>
    <t>ACENETH QUINTERO</t>
  </si>
  <si>
    <t xml:space="preserve">CORTES ACOSTA WILLIAM ANDREY </t>
  </si>
  <si>
    <t xml:space="preserve">SANDRA AMPARO ACOSTA </t>
  </si>
  <si>
    <t>GONZALEZ GOMEZ LAURA MICHEL</t>
  </si>
  <si>
    <t xml:space="preserve">DORIS FANNY  BAUTISTA ROJAS </t>
  </si>
  <si>
    <t xml:space="preserve">DORIS  FANNY BAUTISTA ROJAS </t>
  </si>
  <si>
    <t xml:space="preserve">LINARES MUÑOZ MARLON FARLEY </t>
  </si>
  <si>
    <t>OLGA LILIANA MUÑOZ GONZALEZ</t>
  </si>
  <si>
    <t>MENDEZ SOSA YORLEY ELIANA</t>
  </si>
  <si>
    <t xml:space="preserve">SANDRA MILENA SOSA </t>
  </si>
  <si>
    <t xml:space="preserve"> SANDRA MILENA SOSA </t>
  </si>
  <si>
    <t>MORENO GOMEZ LEIDY XIMENA</t>
  </si>
  <si>
    <t xml:space="preserve">PEÑA MORENO OSBAN YULIAN </t>
  </si>
  <si>
    <t xml:space="preserve">YERLY MORENO </t>
  </si>
  <si>
    <t xml:space="preserve">ROMERO LINARES ADRIAN </t>
  </si>
  <si>
    <t xml:space="preserve">NORIDA LINARES GONZALEZ </t>
  </si>
  <si>
    <t>NORIDA LINARES GONZALEZ</t>
  </si>
  <si>
    <t>ROMERO TORRES YESLY PAOLA</t>
  </si>
  <si>
    <t xml:space="preserve">DECCI MAYERLY TORRES CARRILLO </t>
  </si>
  <si>
    <t>20887974</t>
  </si>
  <si>
    <t>SUAREZ GUERRERO WENDY GERALDIN</t>
  </si>
  <si>
    <t>BLANCA LUZ GUERRERO</t>
  </si>
  <si>
    <t>BAUTISTA BLANCO MAICOL YESID</t>
  </si>
  <si>
    <t>11°</t>
  </si>
  <si>
    <t xml:space="preserve">SANDRA MILENA  BLANCO RINCON  </t>
  </si>
  <si>
    <t>BELTRÁN RODRÍGUEZ DIANA MARCELA</t>
  </si>
  <si>
    <t xml:space="preserve">ELSA MARIA RODRIGUEZ ACOSTA  </t>
  </si>
  <si>
    <t xml:space="preserve">ELSA RODRIGUGEZ </t>
  </si>
  <si>
    <t>BOHORQUEZ MUÑOZ LAURA VALENTINA</t>
  </si>
  <si>
    <t>MARISELA MUÑOZ VILLAMIL</t>
  </si>
  <si>
    <t>CANIZALES CASALLAS JERSON FARID</t>
  </si>
  <si>
    <t xml:space="preserve">SANDRAGARAY IRENE  CASALLAS </t>
  </si>
  <si>
    <t>DOMINGUEZ PEÑALOZA JAIVER ENRIQUE</t>
  </si>
  <si>
    <t>ROSALBA YASMIN PEÑALOZA CLAVIJO</t>
  </si>
  <si>
    <t xml:space="preserve">YASMIN PEÑALOZA </t>
  </si>
  <si>
    <t>GARZON LEAL DEISY YULIANA</t>
  </si>
  <si>
    <t>MARIA LEONOR LEAL PINZON</t>
  </si>
  <si>
    <t>LARA RODRIGUEZ BRAYAN ARLEY</t>
  </si>
  <si>
    <t xml:space="preserve">ROSA RODRIGUEZ </t>
  </si>
  <si>
    <t xml:space="preserve">MUÑOZ BOHORQUEZ JASBLEIDY YOHAIRA </t>
  </si>
  <si>
    <t xml:space="preserve">DAIRY LILIANA BOHORQUEZ AMAYA </t>
  </si>
  <si>
    <r>
      <t xml:space="preserve"> </t>
    </r>
    <r>
      <rPr>
        <u/>
        <sz val="11"/>
        <color theme="1"/>
        <rFont val="Calibri"/>
        <family val="2"/>
        <scheme val="minor"/>
      </rPr>
      <t>1´070.751.743</t>
    </r>
  </si>
  <si>
    <t>NIETO MUÑOZ HEINNER DAVID</t>
  </si>
  <si>
    <t xml:space="preserve">EYDY YISED MUÑOZ CRUZ </t>
  </si>
  <si>
    <t>RINCON MENDEZ MAYRA LINETH</t>
  </si>
  <si>
    <t xml:space="preserve">NURY JIMENA  MENDEZ </t>
  </si>
  <si>
    <t>SALAZAR FUENTES BREINER YEFREY</t>
  </si>
  <si>
    <t>LEIDY LILIANA FUENTES MARTINEZ</t>
  </si>
  <si>
    <t>VEGA CONTRERAS JEIBERTH JULIAN</t>
  </si>
  <si>
    <t xml:space="preserve">CAROL BIBIANA CONTRERAS </t>
  </si>
  <si>
    <t>Tipo de documento</t>
  </si>
  <si>
    <t>Edad Actual Validada</t>
  </si>
  <si>
    <t>Nombre completo madre o padre</t>
  </si>
  <si>
    <t>Cedula Madre o padre</t>
  </si>
  <si>
    <t>Serial Asignado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</si>
</sst>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8"/>
      <color rgb="FF654546"/>
      <name val="Verdana"/>
      <family val="2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654546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000000"/>
      </patternFill>
    </fill>
  </fills>
  <borders count="11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63">
    <xf numFmtId="0" fontId="0" fillId="0" borderId="0" xfId="0"/>
    <xf numFmtId="1" fontId="0" fillId="0" borderId="0" xfId="0" applyNumberFormat="1"/>
    <xf numFmtId="0" fontId="0" fillId="0" borderId="2" xfId="0" applyBorder="1"/>
    <xf numFmtId="0" fontId="2" fillId="0" borderId="3" xfId="0" applyFont="1" applyBorder="1" applyAlignment="1">
      <alignment horizontal="center"/>
    </xf>
    <xf numFmtId="1" fontId="3" fillId="4" borderId="3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3" fillId="5" borderId="3" xfId="0" applyFont="1" applyFill="1" applyBorder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2" xfId="0" applyBorder="1" applyProtection="1">
      <protection locked="0"/>
    </xf>
    <xf numFmtId="49" fontId="0" fillId="0" borderId="2" xfId="0" applyNumberFormat="1" applyBorder="1" applyAlignment="1" applyProtection="1">
      <alignment vertical="top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49" fontId="0" fillId="0" borderId="5" xfId="0" applyNumberFormat="1" applyBorder="1" applyAlignment="1" applyProtection="1">
      <alignment horizontal="center" vertical="top"/>
      <protection locked="0"/>
    </xf>
    <xf numFmtId="14" fontId="3" fillId="4" borderId="3" xfId="0" applyNumberFormat="1" applyFont="1" applyFill="1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14" fontId="0" fillId="0" borderId="0" xfId="0" applyNumberFormat="1"/>
    <xf numFmtId="0" fontId="1" fillId="3" borderId="0" xfId="0" applyFont="1" applyFill="1" applyAlignment="1">
      <alignment horizontal="right"/>
    </xf>
    <xf numFmtId="0" fontId="1" fillId="2" borderId="1" xfId="0" applyFont="1" applyFill="1" applyBorder="1" applyAlignment="1">
      <alignment horizontal="left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0" fillId="0" borderId="8" xfId="0" applyBorder="1"/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7" fillId="0" borderId="0" xfId="0" applyFont="1"/>
    <xf numFmtId="14" fontId="0" fillId="0" borderId="2" xfId="0" applyNumberFormat="1" applyBorder="1"/>
    <xf numFmtId="0" fontId="7" fillId="6" borderId="0" xfId="0" applyFont="1" applyFill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9" fillId="0" borderId="0" xfId="0" applyFont="1"/>
    <xf numFmtId="3" fontId="9" fillId="0" borderId="0" xfId="0" applyNumberFormat="1" applyFont="1"/>
    <xf numFmtId="3" fontId="9" fillId="0" borderId="0" xfId="0" applyNumberFormat="1" applyFont="1" applyAlignment="1">
      <alignment wrapText="1"/>
    </xf>
    <xf numFmtId="0" fontId="10" fillId="0" borderId="0" xfId="0" applyFont="1"/>
    <xf numFmtId="0" fontId="10" fillId="6" borderId="0" xfId="0" applyFont="1" applyFill="1" applyAlignment="1">
      <alignment horizontal="center" vertical="center" wrapText="1"/>
    </xf>
    <xf numFmtId="0" fontId="9" fillId="0" borderId="2" xfId="0" applyFont="1" applyBorder="1"/>
    <xf numFmtId="3" fontId="9" fillId="0" borderId="2" xfId="0" applyNumberFormat="1" applyFont="1" applyBorder="1"/>
    <xf numFmtId="1" fontId="0" fillId="0" borderId="2" xfId="0" applyNumberFormat="1" applyBorder="1" applyAlignment="1">
      <alignment horizontal="center" vertical="top"/>
    </xf>
    <xf numFmtId="0" fontId="1" fillId="2" borderId="3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1" fontId="3" fillId="4" borderId="2" xfId="0" applyNumberFormat="1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top"/>
    </xf>
    <xf numFmtId="14" fontId="3" fillId="4" borderId="2" xfId="0" applyNumberFormat="1" applyFont="1" applyFill="1" applyBorder="1" applyAlignment="1">
      <alignment horizontal="center" vertical="top"/>
    </xf>
    <xf numFmtId="0" fontId="3" fillId="5" borderId="2" xfId="0" applyFont="1" applyFill="1" applyBorder="1" applyAlignment="1">
      <alignment horizontal="center" vertical="top"/>
    </xf>
    <xf numFmtId="0" fontId="11" fillId="7" borderId="2" xfId="0" applyFont="1" applyFill="1" applyBorder="1" applyAlignment="1">
      <alignment horizontal="center"/>
    </xf>
    <xf numFmtId="1" fontId="0" fillId="7" borderId="2" xfId="0" applyNumberFormat="1" applyFill="1" applyBorder="1" applyAlignment="1">
      <alignment horizontal="center" vertical="top"/>
    </xf>
    <xf numFmtId="49" fontId="0" fillId="7" borderId="2" xfId="0" applyNumberFormat="1" applyFill="1" applyBorder="1" applyAlignment="1" applyProtection="1">
      <alignment vertical="top"/>
      <protection locked="0"/>
    </xf>
    <xf numFmtId="0" fontId="0" fillId="7" borderId="2" xfId="0" applyFill="1" applyBorder="1" applyAlignment="1" applyProtection="1">
      <alignment horizontal="center" vertical="center"/>
      <protection locked="0"/>
    </xf>
    <xf numFmtId="0" fontId="0" fillId="7" borderId="2" xfId="0" applyFill="1" applyBorder="1" applyProtection="1">
      <protection locked="0"/>
    </xf>
    <xf numFmtId="0" fontId="0" fillId="7" borderId="0" xfId="0" applyFill="1"/>
    <xf numFmtId="0" fontId="0" fillId="7" borderId="2" xfId="0" applyFill="1" applyBorder="1"/>
    <xf numFmtId="3" fontId="9" fillId="7" borderId="2" xfId="0" applyNumberFormat="1" applyFont="1" applyFill="1" applyBorder="1"/>
    <xf numFmtId="0" fontId="9" fillId="7" borderId="2" xfId="0" applyFont="1" applyFill="1" applyBorder="1"/>
    <xf numFmtId="49" fontId="0" fillId="7" borderId="2" xfId="0" applyNumberFormat="1" applyFill="1" applyBorder="1" applyAlignment="1" applyProtection="1">
      <alignment horizontal="center" vertical="top"/>
      <protection locked="0"/>
    </xf>
    <xf numFmtId="3" fontId="9" fillId="7" borderId="2" xfId="0" applyNumberFormat="1" applyFont="1" applyFill="1" applyBorder="1" applyAlignment="1">
      <alignment wrapText="1"/>
    </xf>
    <xf numFmtId="0" fontId="13" fillId="0" borderId="0" xfId="0" applyFont="1"/>
    <xf numFmtId="14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0" fontId="13" fillId="8" borderId="2" xfId="0" applyFont="1" applyFill="1" applyBorder="1"/>
    <xf numFmtId="0" fontId="1" fillId="2" borderId="3" xfId="0" applyFont="1" applyFill="1" applyBorder="1" applyAlignment="1">
      <alignment horizontal="left"/>
    </xf>
    <xf numFmtId="2" fontId="1" fillId="3" borderId="3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2" fontId="1" fillId="3" borderId="1" xfId="0" applyNumberFormat="1" applyFont="1" applyFill="1" applyBorder="1" applyAlignment="1">
      <alignment horizontal="right"/>
    </xf>
  </cellXfs>
  <cellStyles count="3">
    <cellStyle name="Normal" xfId="0" builtinId="0"/>
    <cellStyle name="Normal 2" xfId="1" xr:uid="{60F944D2-C57B-4392-964B-81D3BFA2AEEA}"/>
    <cellStyle name="Normal 3" xfId="2" xr:uid="{4FA39342-0AB8-4E3B-BA06-7CD3F99EC8DC}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CEDE0DD4-DB15-4EB0-A599-33B4BDED01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7F4B-A69D-49DC-A66E-75303CD89591}">
  <sheetPr filterMode="1"/>
  <dimension ref="A1:O61"/>
  <sheetViews>
    <sheetView showGridLines="0" topLeftCell="I1" workbookViewId="0">
      <pane ySplit="2" topLeftCell="A44" activePane="bottomLeft" state="frozen"/>
      <selection activeCell="A2" sqref="A2"/>
      <selection pane="bottomLeft" sqref="A1:O61"/>
    </sheetView>
  </sheetViews>
  <sheetFormatPr baseColWidth="10" defaultColWidth="10.7265625" defaultRowHeight="14.5" x14ac:dyDescent="0.35"/>
  <cols>
    <col min="1" max="1" width="3.7265625" bestFit="1" customWidth="1"/>
    <col min="2" max="2" width="13.54296875" style="1" bestFit="1" customWidth="1"/>
    <col min="3" max="3" width="38" bestFit="1" customWidth="1"/>
    <col min="4" max="4" width="10.26953125" bestFit="1" customWidth="1"/>
    <col min="5" max="5" width="14.453125" bestFit="1" customWidth="1"/>
    <col min="6" max="6" width="14.54296875" style="16" bestFit="1" customWidth="1"/>
    <col min="7" max="7" width="10" customWidth="1"/>
    <col min="8" max="8" width="10.453125" bestFit="1" customWidth="1"/>
    <col min="9" max="9" width="37.453125" bestFit="1" customWidth="1"/>
    <col min="10" max="10" width="13.54296875" bestFit="1" customWidth="1"/>
    <col min="11" max="11" width="11.81640625" customWidth="1"/>
    <col min="12" max="12" width="31.7265625" bestFit="1" customWidth="1"/>
    <col min="13" max="13" width="11.26953125" bestFit="1" customWidth="1"/>
    <col min="14" max="14" width="25.453125" customWidth="1"/>
    <col min="15" max="15" width="16.54296875" customWidth="1"/>
  </cols>
  <sheetData>
    <row r="1" spans="1:15" ht="18.5" x14ac:dyDescent="0.45">
      <c r="A1" s="61" t="s">
        <v>0</v>
      </c>
      <c r="B1" s="61"/>
      <c r="C1" s="61"/>
      <c r="D1" s="61"/>
      <c r="E1" s="61"/>
      <c r="F1" s="61"/>
      <c r="G1" s="61"/>
      <c r="H1" s="18"/>
      <c r="I1" s="62" t="s">
        <v>1</v>
      </c>
      <c r="J1" s="62"/>
      <c r="K1" s="62"/>
      <c r="L1" s="62"/>
      <c r="M1" s="62"/>
      <c r="N1" s="17"/>
    </row>
    <row r="2" spans="1:15" x14ac:dyDescent="0.35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14" t="s">
        <v>7</v>
      </c>
      <c r="G2" s="5" t="s">
        <v>8</v>
      </c>
      <c r="H2" s="5"/>
      <c r="I2" s="6" t="s">
        <v>9</v>
      </c>
      <c r="J2" s="6" t="s">
        <v>10</v>
      </c>
      <c r="K2" s="6" t="s">
        <v>11</v>
      </c>
      <c r="L2" s="6" t="s">
        <v>12</v>
      </c>
      <c r="M2" s="8" t="s">
        <v>13</v>
      </c>
      <c r="N2" s="6" t="s">
        <v>14</v>
      </c>
      <c r="O2" s="9" t="s">
        <v>15</v>
      </c>
    </row>
    <row r="3" spans="1:15" ht="15" thickBot="1" x14ac:dyDescent="0.4">
      <c r="A3" s="2">
        <v>1</v>
      </c>
      <c r="B3" s="2">
        <v>1070752654</v>
      </c>
      <c r="C3" s="21" t="s">
        <v>16</v>
      </c>
      <c r="D3" s="7" t="s">
        <v>17</v>
      </c>
      <c r="E3" s="7" t="s">
        <v>18</v>
      </c>
      <c r="F3" s="25">
        <v>40466</v>
      </c>
      <c r="G3" s="7" t="s">
        <v>19</v>
      </c>
      <c r="H3" s="36">
        <f ca="1">YEAR(NOW())-YEAR(F3)</f>
        <v>16</v>
      </c>
      <c r="I3" s="11" t="s">
        <v>20</v>
      </c>
      <c r="J3" s="12">
        <v>20888438</v>
      </c>
      <c r="K3" s="12">
        <v>3142361054</v>
      </c>
      <c r="L3" s="11" t="s">
        <v>20</v>
      </c>
      <c r="M3" s="12">
        <v>20888438</v>
      </c>
      <c r="N3" s="12">
        <v>3142361054</v>
      </c>
      <c r="O3" s="10"/>
    </row>
    <row r="4" spans="1:15" ht="25.5" thickBot="1" x14ac:dyDescent="0.4">
      <c r="A4" s="2">
        <v>2</v>
      </c>
      <c r="B4" s="2">
        <v>1025148066</v>
      </c>
      <c r="C4" s="22" t="s">
        <v>21</v>
      </c>
      <c r="D4" s="7" t="s">
        <v>17</v>
      </c>
      <c r="E4" s="7" t="s">
        <v>18</v>
      </c>
      <c r="F4" s="25">
        <v>40605</v>
      </c>
      <c r="G4" s="7" t="s">
        <v>19</v>
      </c>
      <c r="H4" s="36">
        <f t="shared" ref="H4:H61" ca="1" si="0">YEAR(NOW())-YEAR(F4)</f>
        <v>15</v>
      </c>
      <c r="I4" s="11" t="s">
        <v>22</v>
      </c>
      <c r="J4" s="12">
        <v>20887885</v>
      </c>
      <c r="K4" s="12">
        <v>3102736142</v>
      </c>
      <c r="L4" s="11" t="s">
        <v>22</v>
      </c>
      <c r="M4" s="12">
        <v>20887885</v>
      </c>
      <c r="N4" s="12">
        <v>3102736142</v>
      </c>
      <c r="O4" s="10"/>
    </row>
    <row r="5" spans="1:15" ht="25.5" hidden="1" thickBot="1" x14ac:dyDescent="0.4">
      <c r="A5" s="2">
        <v>3</v>
      </c>
      <c r="B5">
        <v>1070750978</v>
      </c>
      <c r="C5" s="23" t="s">
        <v>23</v>
      </c>
      <c r="D5" s="7" t="s">
        <v>17</v>
      </c>
      <c r="E5" s="7" t="s">
        <v>18</v>
      </c>
      <c r="F5" s="25">
        <v>38861</v>
      </c>
      <c r="G5" s="7" t="s">
        <v>24</v>
      </c>
      <c r="H5" s="36">
        <f t="shared" ca="1" si="0"/>
        <v>20</v>
      </c>
      <c r="I5" s="11" t="s">
        <v>25</v>
      </c>
      <c r="J5" s="12"/>
      <c r="K5" s="12">
        <v>3219611535</v>
      </c>
      <c r="L5" s="11" t="s">
        <v>25</v>
      </c>
      <c r="M5" s="13"/>
      <c r="N5" s="12">
        <v>3219611535</v>
      </c>
      <c r="O5" s="10"/>
    </row>
    <row r="6" spans="1:15" ht="15" thickBot="1" x14ac:dyDescent="0.4">
      <c r="A6" s="2">
        <v>4</v>
      </c>
      <c r="B6">
        <v>1070752665</v>
      </c>
      <c r="C6" s="23" t="s">
        <v>26</v>
      </c>
      <c r="D6" s="7" t="s">
        <v>17</v>
      </c>
      <c r="E6" s="7" t="s">
        <v>18</v>
      </c>
      <c r="F6" s="25">
        <v>40565</v>
      </c>
      <c r="G6" s="7" t="s">
        <v>19</v>
      </c>
      <c r="H6" s="36">
        <f t="shared" ca="1" si="0"/>
        <v>15</v>
      </c>
      <c r="I6" s="11" t="s">
        <v>27</v>
      </c>
      <c r="J6" s="30">
        <v>20391901</v>
      </c>
      <c r="K6" s="12">
        <v>3219620765</v>
      </c>
      <c r="L6" s="11" t="s">
        <v>28</v>
      </c>
      <c r="M6" s="30">
        <v>20391901</v>
      </c>
      <c r="N6" s="12">
        <v>3219620765</v>
      </c>
      <c r="O6" s="10"/>
    </row>
    <row r="7" spans="1:15" ht="15" thickBot="1" x14ac:dyDescent="0.4">
      <c r="A7" s="2">
        <v>5</v>
      </c>
      <c r="B7">
        <v>1070752400</v>
      </c>
      <c r="C7" s="23" t="s">
        <v>29</v>
      </c>
      <c r="D7" s="7" t="s">
        <v>17</v>
      </c>
      <c r="E7" s="7" t="s">
        <v>18</v>
      </c>
      <c r="F7" s="25">
        <v>40315</v>
      </c>
      <c r="G7" s="7" t="s">
        <v>30</v>
      </c>
      <c r="H7" s="36">
        <f t="shared" ca="1" si="0"/>
        <v>16</v>
      </c>
      <c r="I7" s="11" t="s">
        <v>31</v>
      </c>
      <c r="J7" s="12">
        <v>20887674</v>
      </c>
      <c r="K7" s="12">
        <v>3223845139</v>
      </c>
      <c r="L7" s="11" t="s">
        <v>31</v>
      </c>
      <c r="M7" s="12">
        <v>20887674</v>
      </c>
      <c r="N7" s="12">
        <v>3223845139</v>
      </c>
      <c r="O7" s="10"/>
    </row>
    <row r="8" spans="1:15" ht="15" thickBot="1" x14ac:dyDescent="0.4">
      <c r="A8" s="2">
        <v>6</v>
      </c>
      <c r="B8">
        <v>1070752538</v>
      </c>
      <c r="C8" s="23" t="s">
        <v>32</v>
      </c>
      <c r="D8" s="7" t="s">
        <v>17</v>
      </c>
      <c r="E8" s="7" t="s">
        <v>18</v>
      </c>
      <c r="F8" s="25">
        <v>40281</v>
      </c>
      <c r="G8" s="7" t="s">
        <v>30</v>
      </c>
      <c r="H8" s="36">
        <f t="shared" ca="1" si="0"/>
        <v>16</v>
      </c>
      <c r="I8" s="11" t="s">
        <v>33</v>
      </c>
      <c r="J8" s="29">
        <v>20887309</v>
      </c>
      <c r="K8" s="12">
        <v>3112731116</v>
      </c>
      <c r="L8" s="11" t="s">
        <v>33</v>
      </c>
      <c r="M8" s="29">
        <v>20887309</v>
      </c>
      <c r="N8" s="12">
        <v>3112731116</v>
      </c>
      <c r="O8" s="10"/>
    </row>
    <row r="9" spans="1:15" ht="15" thickBot="1" x14ac:dyDescent="0.4">
      <c r="A9" s="2">
        <v>7</v>
      </c>
      <c r="B9">
        <v>1070752589</v>
      </c>
      <c r="C9" s="23" t="s">
        <v>34</v>
      </c>
      <c r="D9" s="7" t="s">
        <v>17</v>
      </c>
      <c r="E9" s="7" t="s">
        <v>18</v>
      </c>
      <c r="F9" s="25">
        <v>40518</v>
      </c>
      <c r="G9" s="7" t="s">
        <v>19</v>
      </c>
      <c r="H9" s="36">
        <f t="shared" ca="1" si="0"/>
        <v>16</v>
      </c>
      <c r="I9" s="11" t="s">
        <v>35</v>
      </c>
      <c r="J9" s="12">
        <v>1032392379</v>
      </c>
      <c r="K9" s="12">
        <v>3102193767</v>
      </c>
      <c r="L9" s="11" t="s">
        <v>35</v>
      </c>
      <c r="M9" s="13" t="s">
        <v>36</v>
      </c>
      <c r="N9" s="12">
        <v>3102193767</v>
      </c>
      <c r="O9" s="10"/>
    </row>
    <row r="10" spans="1:15" ht="25.5" thickBot="1" x14ac:dyDescent="0.4">
      <c r="A10" s="2">
        <v>8</v>
      </c>
      <c r="B10">
        <v>1070752422</v>
      </c>
      <c r="C10" s="23" t="s">
        <v>37</v>
      </c>
      <c r="D10" s="7" t="s">
        <v>17</v>
      </c>
      <c r="E10" s="7" t="s">
        <v>18</v>
      </c>
      <c r="F10" s="25">
        <v>40365</v>
      </c>
      <c r="G10" s="7" t="s">
        <v>19</v>
      </c>
      <c r="H10" s="36">
        <f t="shared" ca="1" si="0"/>
        <v>16</v>
      </c>
      <c r="I10" s="11" t="s">
        <v>38</v>
      </c>
      <c r="J10" s="12">
        <v>20888347</v>
      </c>
      <c r="K10" s="12">
        <v>3203251727</v>
      </c>
      <c r="L10" s="11" t="s">
        <v>39</v>
      </c>
      <c r="M10" s="13" t="s">
        <v>40</v>
      </c>
      <c r="N10" s="12">
        <v>3142809473</v>
      </c>
      <c r="O10" s="10"/>
    </row>
    <row r="11" spans="1:15" ht="15" thickBot="1" x14ac:dyDescent="0.4">
      <c r="A11" s="2">
        <v>9</v>
      </c>
      <c r="B11">
        <v>1070752735</v>
      </c>
      <c r="C11" s="19" t="s">
        <v>41</v>
      </c>
      <c r="D11" s="7" t="s">
        <v>17</v>
      </c>
      <c r="E11" s="7" t="s">
        <v>18</v>
      </c>
      <c r="F11" s="25">
        <v>40301</v>
      </c>
      <c r="G11" s="7" t="s">
        <v>30</v>
      </c>
      <c r="H11" s="36">
        <f t="shared" ca="1" si="0"/>
        <v>16</v>
      </c>
      <c r="I11" s="11" t="s">
        <v>42</v>
      </c>
      <c r="J11" s="12">
        <v>20888071</v>
      </c>
      <c r="K11" s="12">
        <v>3202698293</v>
      </c>
      <c r="L11" s="11" t="s">
        <v>42</v>
      </c>
      <c r="M11" s="13" t="s">
        <v>43</v>
      </c>
      <c r="N11" s="12">
        <v>3202698293</v>
      </c>
      <c r="O11" s="10"/>
    </row>
    <row r="12" spans="1:15" ht="15" thickBot="1" x14ac:dyDescent="0.4">
      <c r="A12" s="2">
        <v>10</v>
      </c>
      <c r="B12">
        <v>1070752520</v>
      </c>
      <c r="C12" s="20" t="s">
        <v>44</v>
      </c>
      <c r="D12" s="7" t="s">
        <v>17</v>
      </c>
      <c r="E12" s="7" t="s">
        <v>18</v>
      </c>
      <c r="F12" s="25">
        <v>40446</v>
      </c>
      <c r="G12" s="7" t="s">
        <v>19</v>
      </c>
      <c r="H12" s="36">
        <f t="shared" ca="1" si="0"/>
        <v>16</v>
      </c>
      <c r="I12" s="11" t="s">
        <v>45</v>
      </c>
      <c r="J12" s="29" t="s">
        <v>46</v>
      </c>
      <c r="K12" s="12">
        <v>3219052899</v>
      </c>
      <c r="L12" s="11" t="s">
        <v>47</v>
      </c>
      <c r="M12" s="13" t="s">
        <v>46</v>
      </c>
      <c r="N12" s="12">
        <v>3219052899</v>
      </c>
      <c r="O12" s="10"/>
    </row>
    <row r="13" spans="1:15" ht="15" thickBot="1" x14ac:dyDescent="0.4">
      <c r="A13" s="2">
        <v>11</v>
      </c>
      <c r="B13">
        <v>1140919754</v>
      </c>
      <c r="C13" s="20" t="s">
        <v>48</v>
      </c>
      <c r="D13" s="7" t="s">
        <v>17</v>
      </c>
      <c r="E13" s="7" t="s">
        <v>18</v>
      </c>
      <c r="F13" s="25">
        <v>39887</v>
      </c>
      <c r="G13" s="7" t="s">
        <v>30</v>
      </c>
      <c r="H13" s="36">
        <f t="shared" ca="1" si="0"/>
        <v>17</v>
      </c>
      <c r="I13" s="11" t="s">
        <v>49</v>
      </c>
      <c r="J13" s="12">
        <v>52289806</v>
      </c>
      <c r="K13" s="12">
        <v>3193237410</v>
      </c>
      <c r="L13" s="11" t="s">
        <v>49</v>
      </c>
      <c r="M13" s="13" t="s">
        <v>50</v>
      </c>
      <c r="N13" s="12">
        <v>3193237410</v>
      </c>
      <c r="O13" s="10"/>
    </row>
    <row r="14" spans="1:15" ht="15" thickBot="1" x14ac:dyDescent="0.4">
      <c r="A14" s="2">
        <v>12</v>
      </c>
      <c r="B14" s="24">
        <v>1069732617</v>
      </c>
      <c r="C14" s="20" t="s">
        <v>51</v>
      </c>
      <c r="D14" s="7" t="s">
        <v>17</v>
      </c>
      <c r="E14" s="7" t="s">
        <v>18</v>
      </c>
      <c r="F14" s="15">
        <v>39632</v>
      </c>
      <c r="G14" s="7" t="s">
        <v>52</v>
      </c>
      <c r="H14" s="36">
        <f t="shared" ca="1" si="0"/>
        <v>18</v>
      </c>
      <c r="I14" s="11" t="s">
        <v>53</v>
      </c>
      <c r="J14" s="32">
        <v>1069719710</v>
      </c>
      <c r="K14" s="33">
        <v>3125784270</v>
      </c>
      <c r="L14" s="11" t="s">
        <v>53</v>
      </c>
      <c r="M14" s="32">
        <v>1069719710</v>
      </c>
      <c r="N14" s="26" t="s">
        <v>54</v>
      </c>
      <c r="O14" s="10"/>
    </row>
    <row r="15" spans="1:15" ht="15" thickBot="1" x14ac:dyDescent="0.4">
      <c r="A15" s="2">
        <v>13</v>
      </c>
      <c r="B15">
        <v>1122131944</v>
      </c>
      <c r="C15" s="20" t="s">
        <v>55</v>
      </c>
      <c r="D15" s="7" t="s">
        <v>17</v>
      </c>
      <c r="E15" s="7" t="s">
        <v>18</v>
      </c>
      <c r="F15" s="25">
        <v>40490</v>
      </c>
      <c r="G15" s="7" t="s">
        <v>56</v>
      </c>
      <c r="H15" s="36">
        <f t="shared" ca="1" si="0"/>
        <v>16</v>
      </c>
      <c r="I15" s="11" t="s">
        <v>57</v>
      </c>
      <c r="J15" s="12">
        <v>40430960</v>
      </c>
      <c r="K15" s="12">
        <v>3215420786</v>
      </c>
      <c r="L15" s="11" t="s">
        <v>58</v>
      </c>
      <c r="M15" s="13" t="s">
        <v>59</v>
      </c>
      <c r="N15" s="12">
        <v>3209796903</v>
      </c>
      <c r="O15" s="10"/>
    </row>
    <row r="16" spans="1:15" ht="15" thickBot="1" x14ac:dyDescent="0.4">
      <c r="A16" s="2">
        <v>14</v>
      </c>
      <c r="B16">
        <v>1070752532</v>
      </c>
      <c r="C16" s="20" t="s">
        <v>60</v>
      </c>
      <c r="D16" s="7" t="s">
        <v>17</v>
      </c>
      <c r="E16" s="7" t="s">
        <v>18</v>
      </c>
      <c r="F16" s="25">
        <v>40457</v>
      </c>
      <c r="G16" s="7" t="s">
        <v>56</v>
      </c>
      <c r="H16" s="36">
        <f t="shared" ca="1" si="0"/>
        <v>16</v>
      </c>
      <c r="I16" s="11" t="s">
        <v>61</v>
      </c>
      <c r="J16" s="12">
        <v>1070752267</v>
      </c>
      <c r="K16" s="12">
        <v>3209776383</v>
      </c>
      <c r="L16" s="11" t="s">
        <v>61</v>
      </c>
      <c r="M16" s="12">
        <v>1070752267</v>
      </c>
      <c r="N16" s="12">
        <v>3209776383</v>
      </c>
      <c r="O16" s="10"/>
    </row>
    <row r="17" spans="1:15" ht="15" thickBot="1" x14ac:dyDescent="0.4">
      <c r="A17" s="2">
        <v>15</v>
      </c>
      <c r="B17">
        <v>1070752293</v>
      </c>
      <c r="C17" s="20" t="s">
        <v>62</v>
      </c>
      <c r="D17" s="7" t="s">
        <v>17</v>
      </c>
      <c r="E17" s="7" t="s">
        <v>18</v>
      </c>
      <c r="F17" s="25">
        <v>40208</v>
      </c>
      <c r="G17" s="7" t="s">
        <v>56</v>
      </c>
      <c r="H17" s="36">
        <f t="shared" ca="1" si="0"/>
        <v>16</v>
      </c>
      <c r="I17" s="11" t="s">
        <v>63</v>
      </c>
      <c r="J17" s="12">
        <v>20888377</v>
      </c>
      <c r="K17" s="12">
        <v>3203332304</v>
      </c>
      <c r="L17" s="11" t="s">
        <v>64</v>
      </c>
      <c r="M17" s="13" t="s">
        <v>65</v>
      </c>
      <c r="N17" s="12">
        <v>3124448898</v>
      </c>
      <c r="O17" s="10"/>
    </row>
    <row r="18" spans="1:15" ht="15" thickBot="1" x14ac:dyDescent="0.4">
      <c r="A18" s="2">
        <v>16</v>
      </c>
      <c r="B18">
        <v>1070751987</v>
      </c>
      <c r="C18" s="20" t="s">
        <v>66</v>
      </c>
      <c r="D18" s="7" t="s">
        <v>17</v>
      </c>
      <c r="E18" s="7" t="s">
        <v>18</v>
      </c>
      <c r="F18" s="25">
        <v>39934</v>
      </c>
      <c r="G18" s="7" t="s">
        <v>52</v>
      </c>
      <c r="H18" s="36">
        <f t="shared" ca="1" si="0"/>
        <v>17</v>
      </c>
      <c r="I18" s="11" t="s">
        <v>67</v>
      </c>
      <c r="J18" s="12">
        <v>1070751554</v>
      </c>
      <c r="K18" s="12">
        <v>3203957841</v>
      </c>
      <c r="L18" s="11" t="s">
        <v>67</v>
      </c>
      <c r="M18" s="12">
        <v>1070751554</v>
      </c>
      <c r="N18" s="12"/>
      <c r="O18" s="10"/>
    </row>
    <row r="19" spans="1:15" ht="15" thickBot="1" x14ac:dyDescent="0.4">
      <c r="A19" s="2">
        <v>17</v>
      </c>
      <c r="B19">
        <v>1070606470</v>
      </c>
      <c r="C19" s="20" t="s">
        <v>68</v>
      </c>
      <c r="D19" s="7" t="s">
        <v>17</v>
      </c>
      <c r="E19" s="7" t="s">
        <v>18</v>
      </c>
      <c r="F19" s="25">
        <v>40268</v>
      </c>
      <c r="G19" s="7" t="s">
        <v>30</v>
      </c>
      <c r="H19" s="36">
        <f t="shared" ca="1" si="0"/>
        <v>16</v>
      </c>
      <c r="I19" s="11" t="s">
        <v>25</v>
      </c>
      <c r="J19" s="12">
        <v>20886768</v>
      </c>
      <c r="K19" s="12">
        <v>3219611535</v>
      </c>
      <c r="L19" s="11" t="s">
        <v>25</v>
      </c>
      <c r="M19" s="12">
        <v>20886768</v>
      </c>
      <c r="N19" s="12">
        <v>3219611535</v>
      </c>
      <c r="O19" s="10"/>
    </row>
    <row r="20" spans="1:15" ht="15" thickBot="1" x14ac:dyDescent="0.4">
      <c r="A20" s="2">
        <v>18</v>
      </c>
      <c r="B20" s="2">
        <v>1070751897</v>
      </c>
      <c r="C20" s="22" t="s">
        <v>69</v>
      </c>
      <c r="D20" s="7" t="s">
        <v>70</v>
      </c>
      <c r="E20" s="7" t="s">
        <v>18</v>
      </c>
      <c r="F20" s="25">
        <v>39839</v>
      </c>
      <c r="G20" s="7" t="s">
        <v>52</v>
      </c>
      <c r="H20" s="36">
        <f t="shared" ca="1" si="0"/>
        <v>17</v>
      </c>
      <c r="I20" s="11" t="s">
        <v>71</v>
      </c>
      <c r="J20" s="12">
        <v>20888438</v>
      </c>
      <c r="K20" s="12">
        <v>3142361054</v>
      </c>
      <c r="L20" s="11" t="s">
        <v>71</v>
      </c>
      <c r="M20" s="12">
        <v>20888438</v>
      </c>
      <c r="N20" s="12">
        <v>3142361054</v>
      </c>
      <c r="O20" s="10"/>
    </row>
    <row r="21" spans="1:15" ht="15" thickBot="1" x14ac:dyDescent="0.4">
      <c r="A21" s="2">
        <v>19</v>
      </c>
      <c r="B21" s="2">
        <v>1069734751</v>
      </c>
      <c r="C21" s="23" t="s">
        <v>72</v>
      </c>
      <c r="D21" s="7" t="s">
        <v>70</v>
      </c>
      <c r="E21" s="7" t="s">
        <v>18</v>
      </c>
      <c r="F21" s="25">
        <v>39877</v>
      </c>
      <c r="G21" s="7" t="s">
        <v>52</v>
      </c>
      <c r="H21" s="36">
        <f t="shared" ca="1" si="0"/>
        <v>17</v>
      </c>
      <c r="I21" s="11" t="s">
        <v>73</v>
      </c>
      <c r="J21" s="29">
        <v>53017018</v>
      </c>
      <c r="K21" s="12">
        <v>3218166467</v>
      </c>
      <c r="L21" s="11" t="s">
        <v>73</v>
      </c>
      <c r="M21" s="29">
        <v>53017018</v>
      </c>
      <c r="N21" s="12">
        <v>3218166467</v>
      </c>
      <c r="O21" s="10"/>
    </row>
    <row r="22" spans="1:15" ht="15" thickBot="1" x14ac:dyDescent="0.4">
      <c r="A22" s="2">
        <v>20</v>
      </c>
      <c r="B22" s="2">
        <v>1073238667</v>
      </c>
      <c r="C22" s="23" t="s">
        <v>74</v>
      </c>
      <c r="D22" s="7" t="s">
        <v>70</v>
      </c>
      <c r="E22" s="7" t="s">
        <v>18</v>
      </c>
      <c r="F22" s="25">
        <v>40264</v>
      </c>
      <c r="G22" s="7" t="s">
        <v>30</v>
      </c>
      <c r="H22" s="36">
        <f t="shared" ca="1" si="0"/>
        <v>16</v>
      </c>
      <c r="I22" s="11" t="s">
        <v>75</v>
      </c>
      <c r="J22" s="12">
        <v>1073510074</v>
      </c>
      <c r="K22" s="12">
        <v>3227858238</v>
      </c>
      <c r="L22" s="11" t="s">
        <v>75</v>
      </c>
      <c r="M22" s="13" t="s">
        <v>76</v>
      </c>
      <c r="N22" s="12">
        <v>3227858238</v>
      </c>
      <c r="O22" s="10"/>
    </row>
    <row r="23" spans="1:15" ht="15" hidden="1" thickBot="1" x14ac:dyDescent="0.4">
      <c r="A23" s="2">
        <v>21</v>
      </c>
      <c r="B23" s="2">
        <v>1070750904</v>
      </c>
      <c r="C23" s="23" t="s">
        <v>77</v>
      </c>
      <c r="D23" s="7" t="s">
        <v>70</v>
      </c>
      <c r="E23" s="7" t="s">
        <v>18</v>
      </c>
      <c r="F23" s="25">
        <v>38797</v>
      </c>
      <c r="G23" s="7" t="s">
        <v>24</v>
      </c>
      <c r="H23" s="36">
        <f t="shared" ca="1" si="0"/>
        <v>20</v>
      </c>
      <c r="I23" s="11" t="s">
        <v>78</v>
      </c>
      <c r="J23" s="12"/>
      <c r="K23" s="12">
        <v>3219917344</v>
      </c>
      <c r="L23" s="11" t="s">
        <v>79</v>
      </c>
      <c r="M23" s="13" t="s">
        <v>80</v>
      </c>
      <c r="N23" s="12">
        <v>3219917344</v>
      </c>
      <c r="O23" s="10"/>
    </row>
    <row r="24" spans="1:15" ht="15" thickBot="1" x14ac:dyDescent="0.4">
      <c r="A24" s="2">
        <v>22</v>
      </c>
      <c r="B24" s="2">
        <v>1070751719</v>
      </c>
      <c r="C24" s="23" t="s">
        <v>81</v>
      </c>
      <c r="D24" s="7" t="s">
        <v>70</v>
      </c>
      <c r="E24" s="7" t="s">
        <v>18</v>
      </c>
      <c r="F24" s="25">
        <v>39697</v>
      </c>
      <c r="G24" s="7" t="s">
        <v>52</v>
      </c>
      <c r="H24" s="36">
        <f t="shared" ca="1" si="0"/>
        <v>18</v>
      </c>
      <c r="I24" s="11" t="s">
        <v>82</v>
      </c>
      <c r="J24" s="29">
        <v>20888382</v>
      </c>
      <c r="K24" s="12">
        <v>3223331352</v>
      </c>
      <c r="L24" s="11" t="s">
        <v>82</v>
      </c>
      <c r="M24" s="29">
        <v>20888382</v>
      </c>
      <c r="N24" s="12">
        <v>3223331352</v>
      </c>
      <c r="O24" s="10"/>
    </row>
    <row r="25" spans="1:15" ht="25.5" thickBot="1" x14ac:dyDescent="0.4">
      <c r="A25" s="2">
        <v>23</v>
      </c>
      <c r="B25" s="2">
        <v>1070751772</v>
      </c>
      <c r="C25" s="23" t="s">
        <v>83</v>
      </c>
      <c r="D25" s="7" t="s">
        <v>70</v>
      </c>
      <c r="E25" s="7" t="s">
        <v>18</v>
      </c>
      <c r="F25" s="25">
        <v>39273</v>
      </c>
      <c r="G25" s="7" t="s">
        <v>84</v>
      </c>
      <c r="H25" s="36">
        <f t="shared" ca="1" si="0"/>
        <v>19</v>
      </c>
      <c r="I25" s="11" t="s">
        <v>85</v>
      </c>
      <c r="J25" s="12">
        <v>1070750433</v>
      </c>
      <c r="K25" s="12">
        <v>3012634160</v>
      </c>
      <c r="L25" s="11" t="s">
        <v>86</v>
      </c>
      <c r="M25" s="13" t="s">
        <v>87</v>
      </c>
      <c r="N25" s="12">
        <v>3012634160</v>
      </c>
      <c r="O25" s="10"/>
    </row>
    <row r="26" spans="1:15" ht="25.5" thickBot="1" x14ac:dyDescent="0.4">
      <c r="A26" s="2">
        <v>24</v>
      </c>
      <c r="B26" s="2">
        <v>1070752002</v>
      </c>
      <c r="C26" s="23" t="s">
        <v>88</v>
      </c>
      <c r="D26" s="7" t="s">
        <v>70</v>
      </c>
      <c r="E26" s="7" t="s">
        <v>18</v>
      </c>
      <c r="F26" s="25">
        <v>39941</v>
      </c>
      <c r="G26" s="7" t="s">
        <v>52</v>
      </c>
      <c r="H26" s="36">
        <f t="shared" ca="1" si="0"/>
        <v>17</v>
      </c>
      <c r="I26" s="11" t="s">
        <v>89</v>
      </c>
      <c r="J26" s="31">
        <v>1070752908</v>
      </c>
      <c r="K26" s="12">
        <v>3209768167</v>
      </c>
      <c r="L26" s="11" t="s">
        <v>90</v>
      </c>
      <c r="M26" s="31">
        <v>1070752908</v>
      </c>
      <c r="N26" s="12">
        <v>3209768167</v>
      </c>
      <c r="O26" s="10"/>
    </row>
    <row r="27" spans="1:15" ht="15" thickBot="1" x14ac:dyDescent="0.4">
      <c r="A27" s="2">
        <v>25</v>
      </c>
      <c r="B27" s="2">
        <v>1070752585</v>
      </c>
      <c r="C27" s="23" t="s">
        <v>91</v>
      </c>
      <c r="D27" s="7" t="s">
        <v>70</v>
      </c>
      <c r="E27" s="7" t="s">
        <v>18</v>
      </c>
      <c r="F27" s="25">
        <v>40512</v>
      </c>
      <c r="G27" s="7" t="s">
        <v>19</v>
      </c>
      <c r="H27" s="36">
        <f t="shared" ca="1" si="0"/>
        <v>16</v>
      </c>
      <c r="I27" s="11" t="s">
        <v>92</v>
      </c>
      <c r="J27" s="12">
        <v>1070752304</v>
      </c>
      <c r="K27" s="12">
        <v>3145161034</v>
      </c>
      <c r="L27" s="11" t="s">
        <v>93</v>
      </c>
      <c r="M27" s="13" t="s">
        <v>94</v>
      </c>
      <c r="N27" s="12">
        <v>3145161034</v>
      </c>
      <c r="O27" s="10"/>
    </row>
    <row r="28" spans="1:15" ht="15" thickBot="1" x14ac:dyDescent="0.4">
      <c r="A28" s="2">
        <v>26</v>
      </c>
      <c r="B28" s="2">
        <v>1070752109</v>
      </c>
      <c r="C28" s="23" t="s">
        <v>95</v>
      </c>
      <c r="D28" s="7" t="s">
        <v>70</v>
      </c>
      <c r="E28" s="7" t="s">
        <v>18</v>
      </c>
      <c r="F28" s="25">
        <v>40051</v>
      </c>
      <c r="G28" s="7" t="s">
        <v>19</v>
      </c>
      <c r="H28" s="36">
        <f t="shared" ca="1" si="0"/>
        <v>17</v>
      </c>
      <c r="I28" s="11" t="s">
        <v>96</v>
      </c>
      <c r="J28" s="12">
        <v>1070752304</v>
      </c>
      <c r="K28" s="12">
        <v>3145161034</v>
      </c>
      <c r="L28" s="11" t="s">
        <v>93</v>
      </c>
      <c r="M28" s="13" t="s">
        <v>94</v>
      </c>
      <c r="N28" s="12">
        <v>3145161034</v>
      </c>
      <c r="O28" s="10"/>
    </row>
    <row r="29" spans="1:15" ht="15" thickBot="1" x14ac:dyDescent="0.4">
      <c r="A29" s="2">
        <v>27</v>
      </c>
      <c r="B29" s="2">
        <v>1070752309</v>
      </c>
      <c r="C29" s="23" t="s">
        <v>97</v>
      </c>
      <c r="D29" s="7" t="s">
        <v>70</v>
      </c>
      <c r="E29" s="7" t="s">
        <v>18</v>
      </c>
      <c r="F29" s="25">
        <v>40225</v>
      </c>
      <c r="G29" s="7" t="s">
        <v>30</v>
      </c>
      <c r="H29" s="36">
        <f t="shared" ca="1" si="0"/>
        <v>16</v>
      </c>
      <c r="I29" s="11" t="s">
        <v>98</v>
      </c>
      <c r="J29" s="12">
        <v>1070750981</v>
      </c>
      <c r="K29" s="12">
        <v>3213254185</v>
      </c>
      <c r="L29" s="11" t="s">
        <v>98</v>
      </c>
      <c r="M29" s="12">
        <v>1070750981</v>
      </c>
      <c r="N29" s="12">
        <v>3213254185</v>
      </c>
      <c r="O29" s="10"/>
    </row>
    <row r="30" spans="1:15" ht="25.5" thickBot="1" x14ac:dyDescent="0.4">
      <c r="A30" s="2">
        <v>28</v>
      </c>
      <c r="B30" s="2">
        <v>1070752174</v>
      </c>
      <c r="C30" s="23" t="s">
        <v>99</v>
      </c>
      <c r="D30" s="7" t="s">
        <v>70</v>
      </c>
      <c r="E30" s="7" t="s">
        <v>18</v>
      </c>
      <c r="F30" s="25">
        <v>40097</v>
      </c>
      <c r="G30" s="7" t="s">
        <v>30</v>
      </c>
      <c r="H30" s="36">
        <f t="shared" ca="1" si="0"/>
        <v>17</v>
      </c>
      <c r="I30" s="11" t="s">
        <v>100</v>
      </c>
      <c r="J30" s="12">
        <v>1070751792</v>
      </c>
      <c r="K30" s="12">
        <v>3229446818</v>
      </c>
      <c r="L30" s="11" t="s">
        <v>100</v>
      </c>
      <c r="M30" s="12">
        <v>1070751792</v>
      </c>
      <c r="N30" s="12">
        <v>3229446818</v>
      </c>
      <c r="O30" s="10"/>
    </row>
    <row r="31" spans="1:15" ht="15" thickBot="1" x14ac:dyDescent="0.4">
      <c r="A31" s="2">
        <v>29</v>
      </c>
      <c r="B31" s="2">
        <v>1070752462</v>
      </c>
      <c r="C31" s="23" t="s">
        <v>101</v>
      </c>
      <c r="D31" s="7" t="s">
        <v>70</v>
      </c>
      <c r="E31" s="7" t="s">
        <v>18</v>
      </c>
      <c r="F31" s="25">
        <v>40035</v>
      </c>
      <c r="G31" s="7" t="s">
        <v>30</v>
      </c>
      <c r="H31" s="36">
        <f t="shared" ca="1" si="0"/>
        <v>17</v>
      </c>
      <c r="I31" s="11" t="s">
        <v>102</v>
      </c>
      <c r="J31" s="12">
        <v>1070750978</v>
      </c>
      <c r="K31" s="12">
        <v>3142005779</v>
      </c>
      <c r="L31" s="11" t="s">
        <v>102</v>
      </c>
      <c r="M31" s="13"/>
      <c r="N31" s="12">
        <v>3142005779</v>
      </c>
      <c r="O31" s="10"/>
    </row>
    <row r="32" spans="1:15" ht="15" thickBot="1" x14ac:dyDescent="0.4">
      <c r="A32" s="2">
        <v>30</v>
      </c>
      <c r="B32" s="2">
        <v>1070752494</v>
      </c>
      <c r="C32" s="23" t="s">
        <v>103</v>
      </c>
      <c r="D32" s="7" t="s">
        <v>70</v>
      </c>
      <c r="E32" s="7" t="s">
        <v>18</v>
      </c>
      <c r="F32" s="25">
        <v>40293</v>
      </c>
      <c r="G32" s="7" t="s">
        <v>30</v>
      </c>
      <c r="H32" s="36">
        <f t="shared" ca="1" si="0"/>
        <v>16</v>
      </c>
      <c r="I32" s="11" t="s">
        <v>104</v>
      </c>
      <c r="J32" s="29">
        <v>20888524</v>
      </c>
      <c r="K32" s="12">
        <v>3228396518</v>
      </c>
      <c r="L32" s="11" t="s">
        <v>105</v>
      </c>
      <c r="M32" s="29">
        <v>20888524</v>
      </c>
      <c r="N32" s="12">
        <v>3228396518</v>
      </c>
      <c r="O32" s="10"/>
    </row>
    <row r="33" spans="1:15" ht="15" thickBot="1" x14ac:dyDescent="0.4">
      <c r="A33" s="2">
        <v>31</v>
      </c>
      <c r="B33" s="2">
        <v>1028700365</v>
      </c>
      <c r="C33" s="23" t="s">
        <v>106</v>
      </c>
      <c r="D33" s="7" t="s">
        <v>70</v>
      </c>
      <c r="E33" s="7" t="s">
        <v>18</v>
      </c>
      <c r="F33" s="25">
        <v>40360</v>
      </c>
      <c r="G33" s="7" t="s">
        <v>19</v>
      </c>
      <c r="H33" s="36">
        <f t="shared" ca="1" si="0"/>
        <v>16</v>
      </c>
      <c r="I33" s="11" t="s">
        <v>107</v>
      </c>
      <c r="J33" s="12">
        <v>1070751326</v>
      </c>
      <c r="K33" s="12">
        <v>3219218982</v>
      </c>
      <c r="L33" s="11" t="s">
        <v>108</v>
      </c>
      <c r="M33" s="13" t="s">
        <v>109</v>
      </c>
      <c r="N33" s="12">
        <v>3118957649</v>
      </c>
      <c r="O33" s="10"/>
    </row>
    <row r="34" spans="1:15" ht="15" thickBot="1" x14ac:dyDescent="0.4">
      <c r="A34" s="2">
        <v>32</v>
      </c>
      <c r="B34" s="2">
        <v>1070751693</v>
      </c>
      <c r="C34" s="23" t="s">
        <v>110</v>
      </c>
      <c r="D34" s="7" t="s">
        <v>70</v>
      </c>
      <c r="E34" s="7" t="s">
        <v>18</v>
      </c>
      <c r="F34" s="25">
        <v>39498</v>
      </c>
      <c r="G34" s="7" t="s">
        <v>84</v>
      </c>
      <c r="H34" s="36">
        <f t="shared" ca="1" si="0"/>
        <v>18</v>
      </c>
      <c r="I34" s="11" t="s">
        <v>111</v>
      </c>
      <c r="J34" s="29">
        <v>20888437</v>
      </c>
      <c r="K34" s="12">
        <v>3134418457</v>
      </c>
      <c r="L34" s="11" t="s">
        <v>112</v>
      </c>
      <c r="M34" s="29">
        <v>20888437</v>
      </c>
      <c r="N34" s="12">
        <v>3134418457</v>
      </c>
      <c r="O34" s="10"/>
    </row>
    <row r="35" spans="1:15" ht="15" thickBot="1" x14ac:dyDescent="0.4">
      <c r="A35" s="2">
        <v>33</v>
      </c>
      <c r="B35" s="2">
        <v>1070752032</v>
      </c>
      <c r="C35" s="23" t="s">
        <v>113</v>
      </c>
      <c r="D35" s="7" t="s">
        <v>70</v>
      </c>
      <c r="E35" s="7" t="s">
        <v>18</v>
      </c>
      <c r="F35" s="25">
        <v>39990</v>
      </c>
      <c r="G35" s="7" t="s">
        <v>52</v>
      </c>
      <c r="H35" s="36">
        <f t="shared" ca="1" si="0"/>
        <v>17</v>
      </c>
      <c r="I35" s="11" t="s">
        <v>114</v>
      </c>
      <c r="J35" s="12">
        <v>1070752504</v>
      </c>
      <c r="K35" s="12">
        <v>3214001777</v>
      </c>
      <c r="L35" s="11" t="s">
        <v>114</v>
      </c>
      <c r="M35" s="12">
        <v>1070752504</v>
      </c>
      <c r="N35" s="12">
        <v>3214001777</v>
      </c>
      <c r="O35" s="10"/>
    </row>
    <row r="36" spans="1:15" ht="15" thickBot="1" x14ac:dyDescent="0.4">
      <c r="A36" s="2">
        <v>34</v>
      </c>
      <c r="B36" s="2">
        <v>1070752366</v>
      </c>
      <c r="C36" s="23" t="s">
        <v>115</v>
      </c>
      <c r="D36" s="7" t="s">
        <v>70</v>
      </c>
      <c r="E36" s="7" t="s">
        <v>18</v>
      </c>
      <c r="F36" s="25">
        <v>39924</v>
      </c>
      <c r="G36" s="7" t="s">
        <v>52</v>
      </c>
      <c r="H36" s="36">
        <f t="shared" ca="1" si="0"/>
        <v>17</v>
      </c>
      <c r="I36" s="11" t="s">
        <v>116</v>
      </c>
      <c r="J36" s="30">
        <v>1070750619</v>
      </c>
      <c r="K36" s="12">
        <v>3219102430</v>
      </c>
      <c r="L36" s="11" t="s">
        <v>117</v>
      </c>
      <c r="M36" s="30">
        <v>1070750619</v>
      </c>
      <c r="N36" s="12">
        <v>3219102430</v>
      </c>
      <c r="O36" s="10"/>
    </row>
    <row r="37" spans="1:15" ht="15" thickBot="1" x14ac:dyDescent="0.4">
      <c r="A37" s="2">
        <v>35</v>
      </c>
      <c r="B37">
        <v>1072365043</v>
      </c>
      <c r="C37" s="19" t="s">
        <v>118</v>
      </c>
      <c r="D37" s="7" t="s">
        <v>119</v>
      </c>
      <c r="E37" s="7" t="s">
        <v>18</v>
      </c>
      <c r="F37" s="16">
        <v>39033</v>
      </c>
      <c r="G37" s="7" t="s">
        <v>120</v>
      </c>
      <c r="H37" s="36">
        <v>17</v>
      </c>
      <c r="I37" s="11" t="s">
        <v>121</v>
      </c>
      <c r="J37" s="12">
        <v>20724132</v>
      </c>
      <c r="K37" s="12">
        <v>3143097711</v>
      </c>
      <c r="L37" s="11" t="s">
        <v>121</v>
      </c>
      <c r="M37" s="12">
        <v>20724132</v>
      </c>
      <c r="N37" s="12">
        <v>3143097711</v>
      </c>
      <c r="O37" s="10"/>
    </row>
    <row r="38" spans="1:15" ht="15" thickBot="1" x14ac:dyDescent="0.4">
      <c r="A38" s="2">
        <v>36</v>
      </c>
      <c r="B38">
        <v>1070752031</v>
      </c>
      <c r="C38" s="19" t="s">
        <v>122</v>
      </c>
      <c r="D38" s="7" t="s">
        <v>119</v>
      </c>
      <c r="E38" s="7" t="s">
        <v>18</v>
      </c>
      <c r="F38" s="16">
        <v>39980</v>
      </c>
      <c r="G38" s="7" t="s">
        <v>52</v>
      </c>
      <c r="H38" s="36">
        <f t="shared" ca="1" si="0"/>
        <v>17</v>
      </c>
      <c r="I38" s="11" t="s">
        <v>123</v>
      </c>
      <c r="J38" s="34">
        <v>20888041</v>
      </c>
      <c r="K38" s="12">
        <v>3214671975</v>
      </c>
      <c r="L38" s="11" t="s">
        <v>124</v>
      </c>
      <c r="M38" s="29">
        <v>20888041</v>
      </c>
      <c r="N38" s="12">
        <v>3214671975</v>
      </c>
      <c r="O38" s="10"/>
    </row>
    <row r="39" spans="1:15" ht="15" thickBot="1" x14ac:dyDescent="0.4">
      <c r="A39" s="2">
        <v>37</v>
      </c>
      <c r="B39">
        <v>1071549411</v>
      </c>
      <c r="C39" s="20" t="s">
        <v>125</v>
      </c>
      <c r="D39" s="7" t="s">
        <v>119</v>
      </c>
      <c r="E39" s="7" t="s">
        <v>18</v>
      </c>
      <c r="F39" s="16">
        <v>39903</v>
      </c>
      <c r="G39" s="7" t="s">
        <v>52</v>
      </c>
      <c r="H39" s="36">
        <f t="shared" ca="1" si="0"/>
        <v>17</v>
      </c>
      <c r="I39" s="11" t="s">
        <v>126</v>
      </c>
      <c r="J39" s="34">
        <v>1070750561</v>
      </c>
      <c r="K39" s="12">
        <v>3132738844</v>
      </c>
      <c r="L39" s="11" t="s">
        <v>126</v>
      </c>
      <c r="M39" s="29">
        <v>1070750561</v>
      </c>
      <c r="N39" s="12">
        <v>3132738844</v>
      </c>
      <c r="O39" s="10"/>
    </row>
    <row r="40" spans="1:15" ht="15" thickBot="1" x14ac:dyDescent="0.4">
      <c r="A40" s="2">
        <v>38</v>
      </c>
      <c r="B40">
        <v>1069729937</v>
      </c>
      <c r="C40" s="20" t="s">
        <v>127</v>
      </c>
      <c r="D40" s="7" t="s">
        <v>119</v>
      </c>
      <c r="E40" s="7" t="s">
        <v>18</v>
      </c>
      <c r="F40" s="16">
        <v>39457</v>
      </c>
      <c r="G40" s="7" t="s">
        <v>84</v>
      </c>
      <c r="H40" s="36">
        <f t="shared" ca="1" si="0"/>
        <v>18</v>
      </c>
      <c r="I40" s="11" t="s">
        <v>128</v>
      </c>
      <c r="J40" s="34">
        <v>5208478</v>
      </c>
      <c r="K40" s="12">
        <v>3107274287</v>
      </c>
      <c r="L40" s="11" t="s">
        <v>128</v>
      </c>
      <c r="M40" s="29">
        <v>5208478</v>
      </c>
      <c r="N40" s="12">
        <v>3107274287</v>
      </c>
      <c r="O40" s="10"/>
    </row>
    <row r="41" spans="1:15" ht="15" thickBot="1" x14ac:dyDescent="0.4">
      <c r="A41" s="2">
        <v>39</v>
      </c>
      <c r="B41">
        <v>1070751538</v>
      </c>
      <c r="C41" s="20" t="s">
        <v>129</v>
      </c>
      <c r="D41" s="7" t="s">
        <v>119</v>
      </c>
      <c r="E41" s="7" t="s">
        <v>18</v>
      </c>
      <c r="F41" s="16">
        <v>39468</v>
      </c>
      <c r="G41" s="7" t="s">
        <v>84</v>
      </c>
      <c r="H41" s="36">
        <f t="shared" ca="1" si="0"/>
        <v>18</v>
      </c>
      <c r="I41" s="11" t="s">
        <v>130</v>
      </c>
      <c r="J41" s="34">
        <v>20888013</v>
      </c>
      <c r="K41" s="12">
        <v>3142963497</v>
      </c>
      <c r="L41" s="11" t="s">
        <v>130</v>
      </c>
      <c r="M41" s="29">
        <v>20888013</v>
      </c>
      <c r="N41" s="12">
        <v>3142963497</v>
      </c>
      <c r="O41" s="10"/>
    </row>
    <row r="42" spans="1:15" ht="15" thickBot="1" x14ac:dyDescent="0.4">
      <c r="A42" s="2">
        <v>40</v>
      </c>
      <c r="B42">
        <v>1075663912</v>
      </c>
      <c r="C42" s="20" t="s">
        <v>131</v>
      </c>
      <c r="D42" s="7" t="s">
        <v>119</v>
      </c>
      <c r="E42" s="7" t="s">
        <v>18</v>
      </c>
      <c r="F42" s="16">
        <v>39584</v>
      </c>
      <c r="G42" s="7" t="s">
        <v>84</v>
      </c>
      <c r="H42" s="36">
        <f t="shared" ca="1" si="0"/>
        <v>18</v>
      </c>
      <c r="I42" s="11" t="s">
        <v>132</v>
      </c>
      <c r="J42" s="34">
        <v>20887215</v>
      </c>
      <c r="K42" s="12">
        <v>3123622359</v>
      </c>
      <c r="L42" s="11" t="s">
        <v>133</v>
      </c>
      <c r="M42" s="29">
        <v>20887215</v>
      </c>
      <c r="N42" s="12">
        <v>3123622359</v>
      </c>
      <c r="O42" s="10"/>
    </row>
    <row r="43" spans="1:15" ht="15" thickBot="1" x14ac:dyDescent="0.4">
      <c r="A43" s="2">
        <v>41</v>
      </c>
      <c r="B43">
        <v>1070751709</v>
      </c>
      <c r="C43" s="20" t="s">
        <v>134</v>
      </c>
      <c r="D43" s="7" t="s">
        <v>119</v>
      </c>
      <c r="E43" s="7" t="s">
        <v>18</v>
      </c>
      <c r="F43" s="16">
        <v>39669</v>
      </c>
      <c r="G43" s="7" t="s">
        <v>84</v>
      </c>
      <c r="H43" s="36">
        <f t="shared" ca="1" si="0"/>
        <v>18</v>
      </c>
      <c r="I43" s="11" t="s">
        <v>135</v>
      </c>
      <c r="J43" s="12">
        <v>20888524</v>
      </c>
      <c r="K43" s="12">
        <v>3228396518</v>
      </c>
      <c r="L43" s="11" t="s">
        <v>135</v>
      </c>
      <c r="M43" s="12">
        <v>20888524</v>
      </c>
      <c r="N43" s="12">
        <v>3228396518</v>
      </c>
      <c r="O43" s="10"/>
    </row>
    <row r="44" spans="1:15" ht="15" thickBot="1" x14ac:dyDescent="0.4">
      <c r="A44" s="2">
        <v>42</v>
      </c>
      <c r="B44">
        <v>1070751799</v>
      </c>
      <c r="C44" s="20" t="s">
        <v>136</v>
      </c>
      <c r="D44" s="7" t="s">
        <v>119</v>
      </c>
      <c r="E44" s="7" t="s">
        <v>18</v>
      </c>
      <c r="F44" s="16">
        <v>39760</v>
      </c>
      <c r="G44" s="7" t="s">
        <v>84</v>
      </c>
      <c r="H44" s="36">
        <f t="shared" ca="1" si="0"/>
        <v>18</v>
      </c>
      <c r="I44" s="11" t="s">
        <v>137</v>
      </c>
      <c r="J44" s="35">
        <v>20888172</v>
      </c>
      <c r="K44" s="12">
        <v>3213381941</v>
      </c>
      <c r="L44" s="11" t="s">
        <v>138</v>
      </c>
      <c r="M44" s="30">
        <v>20888172</v>
      </c>
      <c r="N44" s="12">
        <v>3213381941</v>
      </c>
      <c r="O44" s="10"/>
    </row>
    <row r="45" spans="1:15" ht="15" thickBot="1" x14ac:dyDescent="0.4">
      <c r="A45" s="2">
        <v>43</v>
      </c>
      <c r="B45">
        <v>1071788472</v>
      </c>
      <c r="C45" s="20" t="s">
        <v>139</v>
      </c>
      <c r="D45" s="7" t="s">
        <v>119</v>
      </c>
      <c r="E45" s="7" t="s">
        <v>18</v>
      </c>
      <c r="F45" s="16">
        <v>39234</v>
      </c>
      <c r="G45" s="7" t="s">
        <v>120</v>
      </c>
      <c r="H45" s="36">
        <f t="shared" ca="1" si="0"/>
        <v>19</v>
      </c>
      <c r="I45" s="11" t="s">
        <v>107</v>
      </c>
      <c r="J45" s="12">
        <v>1070751326</v>
      </c>
      <c r="K45" s="12">
        <v>3219218982</v>
      </c>
      <c r="L45" s="11" t="s">
        <v>108</v>
      </c>
      <c r="M45" s="13" t="s">
        <v>109</v>
      </c>
      <c r="N45" s="12">
        <v>3118957649</v>
      </c>
      <c r="O45" s="10"/>
    </row>
    <row r="46" spans="1:15" ht="15" thickBot="1" x14ac:dyDescent="0.4">
      <c r="A46" s="2">
        <v>44</v>
      </c>
      <c r="B46">
        <v>1070751740</v>
      </c>
      <c r="C46" s="20" t="s">
        <v>140</v>
      </c>
      <c r="D46" s="7" t="s">
        <v>119</v>
      </c>
      <c r="E46" s="7" t="s">
        <v>18</v>
      </c>
      <c r="F46" s="16">
        <v>39696</v>
      </c>
      <c r="G46" s="7" t="s">
        <v>84</v>
      </c>
      <c r="H46" s="36">
        <f t="shared" ca="1" si="0"/>
        <v>18</v>
      </c>
      <c r="I46" s="11" t="s">
        <v>141</v>
      </c>
      <c r="J46" s="34">
        <v>1070752383</v>
      </c>
      <c r="K46" s="12">
        <v>3143337643</v>
      </c>
      <c r="L46" s="11" t="s">
        <v>141</v>
      </c>
      <c r="M46" s="29">
        <v>1070752383</v>
      </c>
      <c r="N46" s="12">
        <v>3143337643</v>
      </c>
      <c r="O46" s="10"/>
    </row>
    <row r="47" spans="1:15" ht="15" thickBot="1" x14ac:dyDescent="0.4">
      <c r="A47" s="2">
        <v>45</v>
      </c>
      <c r="B47">
        <v>1070751645</v>
      </c>
      <c r="C47" s="20" t="s">
        <v>142</v>
      </c>
      <c r="D47" s="7" t="s">
        <v>119</v>
      </c>
      <c r="E47" s="7" t="s">
        <v>18</v>
      </c>
      <c r="F47" s="16">
        <v>39592</v>
      </c>
      <c r="G47" s="7" t="s">
        <v>84</v>
      </c>
      <c r="H47" s="36">
        <f t="shared" ca="1" si="0"/>
        <v>18</v>
      </c>
      <c r="I47" s="11" t="s">
        <v>143</v>
      </c>
      <c r="J47" s="29">
        <v>1070751644</v>
      </c>
      <c r="K47" s="12">
        <v>3233064300</v>
      </c>
      <c r="L47" s="11" t="s">
        <v>144</v>
      </c>
      <c r="M47" s="30">
        <v>1070751644</v>
      </c>
      <c r="N47" s="12">
        <v>3233064300</v>
      </c>
      <c r="O47" s="10"/>
    </row>
    <row r="48" spans="1:15" ht="15" thickBot="1" x14ac:dyDescent="0.4">
      <c r="A48" s="2">
        <v>46</v>
      </c>
      <c r="B48">
        <v>1071549295</v>
      </c>
      <c r="C48" s="20" t="s">
        <v>145</v>
      </c>
      <c r="D48" s="7" t="s">
        <v>119</v>
      </c>
      <c r="E48" s="7" t="s">
        <v>18</v>
      </c>
      <c r="F48" s="16">
        <v>39645</v>
      </c>
      <c r="G48" s="7" t="s">
        <v>84</v>
      </c>
      <c r="H48" s="36">
        <f t="shared" ca="1" si="0"/>
        <v>18</v>
      </c>
      <c r="I48" s="11" t="s">
        <v>146</v>
      </c>
      <c r="J48" s="30">
        <v>20887974</v>
      </c>
      <c r="K48" s="29">
        <v>3115330677</v>
      </c>
      <c r="L48" s="11" t="s">
        <v>146</v>
      </c>
      <c r="M48" s="13" t="s">
        <v>147</v>
      </c>
      <c r="N48" s="29">
        <v>3115330677</v>
      </c>
      <c r="O48" s="10"/>
    </row>
    <row r="49" spans="1:15" ht="15" thickBot="1" x14ac:dyDescent="0.4">
      <c r="A49" s="2">
        <v>47</v>
      </c>
      <c r="B49">
        <v>1070752141</v>
      </c>
      <c r="C49" s="20" t="s">
        <v>148</v>
      </c>
      <c r="D49" s="7" t="s">
        <v>119</v>
      </c>
      <c r="E49" s="7" t="s">
        <v>18</v>
      </c>
      <c r="F49" s="16">
        <v>40080</v>
      </c>
      <c r="G49" s="7" t="s">
        <v>52</v>
      </c>
      <c r="H49" s="36">
        <f t="shared" ca="1" si="0"/>
        <v>17</v>
      </c>
      <c r="I49" s="11" t="s">
        <v>149</v>
      </c>
      <c r="J49" s="29">
        <v>1070750236</v>
      </c>
      <c r="K49" s="12">
        <v>3227159121</v>
      </c>
      <c r="L49" s="11" t="s">
        <v>149</v>
      </c>
      <c r="M49" s="29">
        <v>1070750236</v>
      </c>
      <c r="N49" s="12">
        <v>3227159121</v>
      </c>
      <c r="O49" s="10"/>
    </row>
    <row r="50" spans="1:15" ht="15" thickBot="1" x14ac:dyDescent="0.4">
      <c r="A50" s="2">
        <v>48</v>
      </c>
      <c r="B50">
        <v>1070751621</v>
      </c>
      <c r="C50" s="27" t="s">
        <v>150</v>
      </c>
      <c r="D50" s="7" t="s">
        <v>151</v>
      </c>
      <c r="E50" s="7" t="s">
        <v>18</v>
      </c>
      <c r="F50" s="16">
        <v>39541</v>
      </c>
      <c r="G50" s="7" t="s">
        <v>84</v>
      </c>
      <c r="H50" s="36">
        <f t="shared" ca="1" si="0"/>
        <v>18</v>
      </c>
      <c r="I50" s="11" t="s">
        <v>152</v>
      </c>
      <c r="J50" s="29">
        <v>3955555</v>
      </c>
      <c r="K50" s="12">
        <v>3142752898</v>
      </c>
      <c r="L50" s="11" t="s">
        <v>152</v>
      </c>
      <c r="M50" s="29">
        <v>3955555</v>
      </c>
      <c r="N50" s="12">
        <v>3142752898</v>
      </c>
      <c r="O50" s="10"/>
    </row>
    <row r="51" spans="1:15" ht="15" thickBot="1" x14ac:dyDescent="0.4">
      <c r="A51" s="2">
        <v>49</v>
      </c>
      <c r="B51">
        <v>1070751651</v>
      </c>
      <c r="C51" s="28" t="s">
        <v>153</v>
      </c>
      <c r="D51" s="7" t="s">
        <v>151</v>
      </c>
      <c r="E51" s="7" t="s">
        <v>18</v>
      </c>
      <c r="F51" s="16">
        <v>39448</v>
      </c>
      <c r="G51" s="7" t="s">
        <v>84</v>
      </c>
      <c r="H51" s="36">
        <f t="shared" ca="1" si="0"/>
        <v>18</v>
      </c>
      <c r="I51" s="11" t="s">
        <v>154</v>
      </c>
      <c r="J51" s="30">
        <v>52520150</v>
      </c>
      <c r="K51" s="12">
        <v>3125530425</v>
      </c>
      <c r="L51" s="11" t="s">
        <v>155</v>
      </c>
      <c r="M51" s="30">
        <v>52520150</v>
      </c>
      <c r="N51" s="12">
        <v>3125530425</v>
      </c>
      <c r="O51" s="10"/>
    </row>
    <row r="52" spans="1:15" ht="15" thickBot="1" x14ac:dyDescent="0.4">
      <c r="A52" s="2">
        <v>50</v>
      </c>
      <c r="B52">
        <v>1070751838</v>
      </c>
      <c r="C52" s="28" t="s">
        <v>156</v>
      </c>
      <c r="D52" s="7" t="s">
        <v>151</v>
      </c>
      <c r="E52" s="7" t="s">
        <v>18</v>
      </c>
      <c r="F52" s="16">
        <v>39806</v>
      </c>
      <c r="G52" s="7" t="s">
        <v>84</v>
      </c>
      <c r="H52" s="36">
        <f t="shared" ca="1" si="0"/>
        <v>18</v>
      </c>
      <c r="I52" s="11" t="s">
        <v>157</v>
      </c>
      <c r="J52" s="30">
        <v>1073510074</v>
      </c>
      <c r="K52" s="12">
        <v>3227858238</v>
      </c>
      <c r="L52" s="11" t="s">
        <v>157</v>
      </c>
      <c r="M52" s="30">
        <v>1073510074</v>
      </c>
      <c r="N52" s="12">
        <v>3227858238</v>
      </c>
      <c r="O52" s="10"/>
    </row>
    <row r="53" spans="1:15" ht="15" thickBot="1" x14ac:dyDescent="0.4">
      <c r="A53" s="2">
        <v>51</v>
      </c>
      <c r="B53">
        <v>1071549114</v>
      </c>
      <c r="C53" s="28" t="s">
        <v>158</v>
      </c>
      <c r="D53" s="7" t="s">
        <v>151</v>
      </c>
      <c r="E53" s="7" t="s">
        <v>18</v>
      </c>
      <c r="F53" s="16">
        <v>39470</v>
      </c>
      <c r="G53" s="7" t="s">
        <v>84</v>
      </c>
      <c r="H53" s="36">
        <f t="shared" ca="1" si="0"/>
        <v>18</v>
      </c>
      <c r="I53" s="11" t="s">
        <v>159</v>
      </c>
      <c r="J53" s="12">
        <v>20888424</v>
      </c>
      <c r="K53" s="12">
        <v>31222647889</v>
      </c>
      <c r="L53" s="11" t="s">
        <v>159</v>
      </c>
      <c r="M53" s="12">
        <v>20888424</v>
      </c>
      <c r="N53" s="12">
        <v>31222647889</v>
      </c>
      <c r="O53" s="10"/>
    </row>
    <row r="54" spans="1:15" ht="15" hidden="1" thickBot="1" x14ac:dyDescent="0.4">
      <c r="A54" s="2">
        <v>52</v>
      </c>
      <c r="B54">
        <v>1070750979</v>
      </c>
      <c r="C54" s="28" t="s">
        <v>160</v>
      </c>
      <c r="D54" s="7" t="s">
        <v>151</v>
      </c>
      <c r="E54" s="7" t="s">
        <v>18</v>
      </c>
      <c r="F54" s="16">
        <v>38875</v>
      </c>
      <c r="G54" s="7" t="s">
        <v>84</v>
      </c>
      <c r="H54" s="36">
        <f t="shared" ca="1" si="0"/>
        <v>20</v>
      </c>
      <c r="I54" s="11" t="s">
        <v>161</v>
      </c>
      <c r="J54" s="12">
        <v>20888455</v>
      </c>
      <c r="K54" s="12">
        <v>3224188900</v>
      </c>
      <c r="L54" s="11" t="s">
        <v>162</v>
      </c>
      <c r="M54" s="13"/>
      <c r="N54" s="12">
        <v>3224188900</v>
      </c>
      <c r="O54" s="10"/>
    </row>
    <row r="55" spans="1:15" ht="15" thickBot="1" x14ac:dyDescent="0.4">
      <c r="A55" s="2">
        <v>53</v>
      </c>
      <c r="B55">
        <v>1070751542</v>
      </c>
      <c r="C55" s="28" t="s">
        <v>163</v>
      </c>
      <c r="D55" s="7" t="s">
        <v>151</v>
      </c>
      <c r="E55" s="7" t="s">
        <v>18</v>
      </c>
      <c r="F55" s="16">
        <v>39097</v>
      </c>
      <c r="G55" s="7" t="s">
        <v>120</v>
      </c>
      <c r="H55" s="36">
        <f t="shared" ca="1" si="0"/>
        <v>19</v>
      </c>
      <c r="I55" s="11" t="s">
        <v>164</v>
      </c>
      <c r="J55" s="12">
        <v>20887078</v>
      </c>
      <c r="K55" s="12">
        <v>3116954700</v>
      </c>
      <c r="L55" s="11" t="s">
        <v>164</v>
      </c>
      <c r="M55" s="12">
        <v>20887078</v>
      </c>
      <c r="N55" s="12">
        <v>3116954700</v>
      </c>
      <c r="O55" s="10"/>
    </row>
    <row r="56" spans="1:15" ht="15" hidden="1" thickBot="1" x14ac:dyDescent="0.4">
      <c r="A56" s="2">
        <v>54</v>
      </c>
      <c r="B56">
        <v>1070750827</v>
      </c>
      <c r="C56" s="28" t="s">
        <v>165</v>
      </c>
      <c r="D56" s="7" t="s">
        <v>151</v>
      </c>
      <c r="E56" s="7" t="s">
        <v>18</v>
      </c>
      <c r="F56" s="16">
        <v>38707</v>
      </c>
      <c r="G56" s="7" t="s">
        <v>24</v>
      </c>
      <c r="H56" s="36">
        <f t="shared" ca="1" si="0"/>
        <v>21</v>
      </c>
      <c r="I56" s="11" t="s">
        <v>166</v>
      </c>
      <c r="J56" s="12">
        <v>20738992</v>
      </c>
      <c r="K56" s="12">
        <v>3219052899</v>
      </c>
      <c r="L56" s="11" t="s">
        <v>166</v>
      </c>
      <c r="M56" s="12">
        <v>20738992</v>
      </c>
      <c r="N56" s="12">
        <v>3219052899</v>
      </c>
      <c r="O56" s="10"/>
    </row>
    <row r="57" spans="1:15" ht="15" thickBot="1" x14ac:dyDescent="0.4">
      <c r="A57" s="2">
        <v>55</v>
      </c>
      <c r="B57">
        <v>1070751505</v>
      </c>
      <c r="C57" s="28" t="s">
        <v>167</v>
      </c>
      <c r="D57" s="7" t="s">
        <v>151</v>
      </c>
      <c r="E57" s="7" t="s">
        <v>18</v>
      </c>
      <c r="F57" s="16">
        <v>39430</v>
      </c>
      <c r="G57" s="7" t="s">
        <v>84</v>
      </c>
      <c r="H57" s="36">
        <f t="shared" ca="1" si="0"/>
        <v>19</v>
      </c>
      <c r="I57" s="11" t="s">
        <v>168</v>
      </c>
      <c r="J57" t="s">
        <v>169</v>
      </c>
      <c r="K57" s="12">
        <v>3204041198</v>
      </c>
      <c r="L57" s="11" t="s">
        <v>168</v>
      </c>
      <c r="M57" t="s">
        <v>169</v>
      </c>
      <c r="N57" s="12">
        <v>3204041198</v>
      </c>
      <c r="O57" s="10"/>
    </row>
    <row r="58" spans="1:15" ht="15" thickBot="1" x14ac:dyDescent="0.4">
      <c r="A58" s="2">
        <v>56</v>
      </c>
      <c r="B58">
        <v>1070751834</v>
      </c>
      <c r="C58" s="28" t="s">
        <v>170</v>
      </c>
      <c r="D58" s="7" t="s">
        <v>151</v>
      </c>
      <c r="E58" s="7" t="s">
        <v>18</v>
      </c>
      <c r="F58" s="16">
        <v>39318</v>
      </c>
      <c r="G58" s="7" t="s">
        <v>120</v>
      </c>
      <c r="H58" s="36">
        <f t="shared" ca="1" si="0"/>
        <v>19</v>
      </c>
      <c r="I58" s="11" t="s">
        <v>171</v>
      </c>
      <c r="J58" s="29">
        <v>1070751410</v>
      </c>
      <c r="K58" s="12">
        <v>3143687896</v>
      </c>
      <c r="L58" s="11" t="s">
        <v>171</v>
      </c>
      <c r="M58" s="29">
        <v>1070751410</v>
      </c>
      <c r="N58" s="12">
        <v>3143687896</v>
      </c>
      <c r="O58" s="10"/>
    </row>
    <row r="59" spans="1:15" ht="15" hidden="1" thickBot="1" x14ac:dyDescent="0.4">
      <c r="A59" s="2">
        <v>57</v>
      </c>
      <c r="B59">
        <v>1070756718</v>
      </c>
      <c r="C59" s="28" t="s">
        <v>172</v>
      </c>
      <c r="D59" s="7" t="s">
        <v>151</v>
      </c>
      <c r="E59" s="7" t="s">
        <v>18</v>
      </c>
      <c r="F59" s="16">
        <v>38638</v>
      </c>
      <c r="G59" s="7" t="s">
        <v>24</v>
      </c>
      <c r="H59" s="36">
        <f t="shared" ca="1" si="0"/>
        <v>21</v>
      </c>
      <c r="I59" s="11" t="s">
        <v>173</v>
      </c>
      <c r="J59" s="29">
        <v>1070751069</v>
      </c>
      <c r="K59" s="12">
        <v>3214926949</v>
      </c>
      <c r="L59" s="11" t="s">
        <v>173</v>
      </c>
      <c r="M59" s="29">
        <v>1070751069</v>
      </c>
      <c r="N59" s="12">
        <v>3214926949</v>
      </c>
      <c r="O59" s="10"/>
    </row>
    <row r="60" spans="1:15" ht="15" hidden="1" thickBot="1" x14ac:dyDescent="0.4">
      <c r="A60" s="2">
        <v>58</v>
      </c>
      <c r="B60">
        <v>1070750889</v>
      </c>
      <c r="C60" s="28" t="s">
        <v>174</v>
      </c>
      <c r="D60" s="7" t="s">
        <v>151</v>
      </c>
      <c r="E60" s="7" t="s">
        <v>18</v>
      </c>
      <c r="F60" s="16">
        <v>38786</v>
      </c>
      <c r="G60" s="7" t="s">
        <v>30</v>
      </c>
      <c r="H60" s="36">
        <f t="shared" ca="1" si="0"/>
        <v>20</v>
      </c>
      <c r="I60" s="11" t="s">
        <v>175</v>
      </c>
      <c r="J60" s="12">
        <v>20888538</v>
      </c>
      <c r="K60" s="12">
        <v>3115212469</v>
      </c>
      <c r="L60" s="11" t="s">
        <v>175</v>
      </c>
      <c r="M60" s="12">
        <v>20888538</v>
      </c>
      <c r="N60" s="12">
        <v>3115212469</v>
      </c>
      <c r="O60" s="10"/>
    </row>
    <row r="61" spans="1:15" ht="15" thickBot="1" x14ac:dyDescent="0.4">
      <c r="A61" s="2">
        <v>59</v>
      </c>
      <c r="B61">
        <v>1071549033</v>
      </c>
      <c r="C61" s="28" t="s">
        <v>176</v>
      </c>
      <c r="D61" s="7" t="s">
        <v>151</v>
      </c>
      <c r="E61" s="7" t="s">
        <v>18</v>
      </c>
      <c r="F61" s="16">
        <v>39346</v>
      </c>
      <c r="G61" s="7" t="s">
        <v>84</v>
      </c>
      <c r="H61" s="36">
        <f t="shared" ca="1" si="0"/>
        <v>19</v>
      </c>
      <c r="I61" s="11" t="s">
        <v>177</v>
      </c>
      <c r="J61" s="12">
        <v>1070750619</v>
      </c>
      <c r="K61" s="12">
        <v>3219102430</v>
      </c>
      <c r="L61" s="11" t="s">
        <v>177</v>
      </c>
      <c r="M61" s="12">
        <v>1070750619</v>
      </c>
      <c r="N61" s="12">
        <v>3219102430</v>
      </c>
      <c r="O61" s="10"/>
    </row>
  </sheetData>
  <sheetProtection autoFilter="0" pivotTables="0"/>
  <autoFilter ref="A2:O61" xr:uid="{391E7F4B-A69D-49DC-A66E-75303CD89591}">
    <filterColumn colId="7">
      <filters>
        <filter val="13"/>
        <filter val="14"/>
        <filter val="15"/>
        <filter val="16"/>
        <filter val="17"/>
      </filters>
    </filterColumn>
  </autoFilter>
  <mergeCells count="2">
    <mergeCell ref="A1:G1"/>
    <mergeCell ref="I1:M1"/>
  </mergeCells>
  <conditionalFormatting sqref="B1:B13 B15:B61">
    <cfRule type="duplicateValues" dxfId="61" priority="76"/>
  </conditionalFormatting>
  <conditionalFormatting sqref="B1:B13 B15:B1048576">
    <cfRule type="duplicateValues" dxfId="60" priority="42"/>
  </conditionalFormatting>
  <conditionalFormatting sqref="C1:C3 C62:C1048576">
    <cfRule type="duplicateValues" dxfId="59" priority="25"/>
  </conditionalFormatting>
  <conditionalFormatting sqref="C2">
    <cfRule type="duplicateValues" dxfId="58" priority="65"/>
  </conditionalFormatting>
  <conditionalFormatting sqref="C3">
    <cfRule type="duplicateValues" dxfId="57" priority="85"/>
    <cfRule type="duplicateValues" dxfId="56" priority="86"/>
  </conditionalFormatting>
  <conditionalFormatting sqref="J45">
    <cfRule type="duplicateValues" dxfId="55" priority="12"/>
  </conditionalFormatting>
  <conditionalFormatting sqref="J1:K1 J3:K5 J2 J25:K25 K24 J35:K35 K34 J33:K33 K32 J43:K43 K38:K42 J7:K7 K6 K26 J22:K23 K21 J60:K61 J37:K37 K36 J53:K56 K44:K47 J9:K11 K8 K49:K52 J13:K13 K12 K57:K59 J15:K20 J27:K31">
    <cfRule type="duplicateValues" dxfId="54" priority="87"/>
  </conditionalFormatting>
  <conditionalFormatting sqref="K2">
    <cfRule type="duplicateValues" dxfId="53" priority="22"/>
  </conditionalFormatting>
  <conditionalFormatting sqref="M3">
    <cfRule type="duplicateValues" dxfId="52" priority="20"/>
  </conditionalFormatting>
  <conditionalFormatting sqref="M4">
    <cfRule type="duplicateValues" dxfId="51" priority="19"/>
  </conditionalFormatting>
  <conditionalFormatting sqref="M7">
    <cfRule type="duplicateValues" dxfId="50" priority="4"/>
  </conditionalFormatting>
  <conditionalFormatting sqref="M16">
    <cfRule type="duplicateValues" dxfId="49" priority="18"/>
  </conditionalFormatting>
  <conditionalFormatting sqref="M18">
    <cfRule type="duplicateValues" dxfId="48" priority="17"/>
  </conditionalFormatting>
  <conditionalFormatting sqref="M19">
    <cfRule type="duplicateValues" dxfId="47" priority="3"/>
  </conditionalFormatting>
  <conditionalFormatting sqref="M20">
    <cfRule type="duplicateValues" dxfId="46" priority="16"/>
  </conditionalFormatting>
  <conditionalFormatting sqref="M28">
    <cfRule type="duplicateValues" dxfId="45" priority="15"/>
  </conditionalFormatting>
  <conditionalFormatting sqref="M29">
    <cfRule type="duplicateValues" dxfId="44" priority="2"/>
  </conditionalFormatting>
  <conditionalFormatting sqref="M30">
    <cfRule type="duplicateValues" dxfId="43" priority="7"/>
  </conditionalFormatting>
  <conditionalFormatting sqref="M35">
    <cfRule type="duplicateValues" dxfId="42" priority="14"/>
  </conditionalFormatting>
  <conditionalFormatting sqref="M37">
    <cfRule type="duplicateValues" dxfId="41" priority="13"/>
  </conditionalFormatting>
  <conditionalFormatting sqref="M43">
    <cfRule type="duplicateValues" dxfId="40" priority="6"/>
  </conditionalFormatting>
  <conditionalFormatting sqref="M45">
    <cfRule type="duplicateValues" dxfId="39" priority="11"/>
  </conditionalFormatting>
  <conditionalFormatting sqref="M53">
    <cfRule type="duplicateValues" dxfId="38" priority="10"/>
  </conditionalFormatting>
  <conditionalFormatting sqref="M55">
    <cfRule type="duplicateValues" dxfId="37" priority="9"/>
  </conditionalFormatting>
  <conditionalFormatting sqref="M56">
    <cfRule type="duplicateValues" dxfId="36" priority="8"/>
  </conditionalFormatting>
  <conditionalFormatting sqref="M60">
    <cfRule type="duplicateValues" dxfId="35" priority="5"/>
  </conditionalFormatting>
  <conditionalFormatting sqref="M61">
    <cfRule type="duplicateValues" dxfId="34" priority="1"/>
  </conditionalFormatting>
  <conditionalFormatting sqref="M1:N1 O2 M2 M25 M33 M48 M22:M23 M54 M9:M13 M5 M15 M17 M27 M31">
    <cfRule type="duplicateValues" dxfId="33" priority="116"/>
  </conditionalFormatting>
  <conditionalFormatting sqref="N2">
    <cfRule type="duplicateValues" dxfId="32" priority="23"/>
  </conditionalFormatting>
  <conditionalFormatting sqref="N3:N13 N49:N61 N15:N47">
    <cfRule type="duplicateValues" dxfId="31" priority="21"/>
  </conditionalFormatting>
  <conditionalFormatting sqref="O1:O1048576">
    <cfRule type="duplicateValues" dxfId="30" priority="24"/>
  </conditionalFormatting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B5F9-4D59-436B-9117-544EA72AF595}">
  <dimension ref="A1:O81"/>
  <sheetViews>
    <sheetView showGridLines="0" tabSelected="1" topLeftCell="A30" workbookViewId="0">
      <selection activeCell="G3" sqref="G3"/>
    </sheetView>
  </sheetViews>
  <sheetFormatPr baseColWidth="10" defaultColWidth="11.453125" defaultRowHeight="14.5" x14ac:dyDescent="0.35"/>
  <cols>
    <col min="1" max="1" width="8" bestFit="1" customWidth="1"/>
    <col min="2" max="2" width="11.1796875" bestFit="1" customWidth="1"/>
    <col min="3" max="3" width="38.54296875" bestFit="1" customWidth="1"/>
    <col min="4" max="4" width="16.6328125" customWidth="1"/>
    <col min="5" max="5" width="20.08984375" customWidth="1"/>
    <col min="6" max="6" width="17" style="16" customWidth="1"/>
    <col min="7" max="7" width="16.54296875" customWidth="1"/>
    <col min="8" max="8" width="25.81640625" customWidth="1"/>
    <col min="9" max="9" width="37" bestFit="1" customWidth="1"/>
    <col min="10" max="10" width="12.81640625" bestFit="1" customWidth="1"/>
    <col min="11" max="11" width="14.81640625" bestFit="1" customWidth="1"/>
    <col min="12" max="12" width="39.81640625" customWidth="1"/>
    <col min="13" max="13" width="17.453125" customWidth="1"/>
    <col min="14" max="14" width="28.08984375" customWidth="1"/>
    <col min="15" max="15" width="16.81640625" customWidth="1"/>
  </cols>
  <sheetData>
    <row r="1" spans="1:15" ht="18.5" x14ac:dyDescent="0.45">
      <c r="A1" s="59" t="s">
        <v>0</v>
      </c>
      <c r="B1" s="59"/>
      <c r="C1" s="59"/>
      <c r="D1" s="59"/>
      <c r="E1" s="59"/>
      <c r="F1" s="59"/>
      <c r="G1" s="59"/>
      <c r="H1" s="37"/>
      <c r="I1" s="60" t="s">
        <v>1</v>
      </c>
      <c r="J1" s="60"/>
      <c r="K1" s="60"/>
      <c r="L1" s="60"/>
      <c r="M1" s="60"/>
      <c r="N1" s="17"/>
    </row>
    <row r="2" spans="1:15" x14ac:dyDescent="0.35">
      <c r="A2" s="38" t="s">
        <v>2</v>
      </c>
      <c r="B2" s="39" t="s">
        <v>3</v>
      </c>
      <c r="C2" s="40" t="s">
        <v>4</v>
      </c>
      <c r="D2" s="40" t="s">
        <v>5</v>
      </c>
      <c r="E2" s="40" t="s">
        <v>178</v>
      </c>
      <c r="F2" s="41" t="s">
        <v>7</v>
      </c>
      <c r="G2" s="40" t="s">
        <v>8</v>
      </c>
      <c r="H2" s="40" t="s">
        <v>179</v>
      </c>
      <c r="I2" s="42" t="s">
        <v>180</v>
      </c>
      <c r="J2" s="42" t="s">
        <v>181</v>
      </c>
      <c r="K2" s="42" t="s">
        <v>11</v>
      </c>
      <c r="L2" s="42" t="s">
        <v>12</v>
      </c>
      <c r="M2" s="42" t="s">
        <v>13</v>
      </c>
      <c r="N2" s="42" t="s">
        <v>14</v>
      </c>
      <c r="O2" s="9" t="s">
        <v>182</v>
      </c>
    </row>
    <row r="3" spans="1:15" s="48" customFormat="1" x14ac:dyDescent="0.35">
      <c r="A3" s="43">
        <v>1</v>
      </c>
      <c r="B3" s="57"/>
      <c r="C3" s="58"/>
      <c r="D3" s="57"/>
      <c r="E3" s="2"/>
      <c r="F3" s="55"/>
      <c r="G3" s="56"/>
      <c r="H3" s="44" t="str">
        <f ca="1">IF(F3="","",YEAR(TODAY())-YEAR(F3)-IF(OR(MONTH(TODAY())&lt;MONTH(F3), AND(MONTH(TODAY())=MONTH(F3), DAY(TODAY())&lt;DAY(F3))),1,0))</f>
        <v/>
      </c>
      <c r="I3" s="56"/>
      <c r="J3" s="56"/>
      <c r="K3" s="57"/>
      <c r="L3" s="45"/>
      <c r="M3" s="46"/>
      <c r="N3" s="46"/>
      <c r="O3" s="47"/>
    </row>
    <row r="4" spans="1:15" s="48" customFormat="1" x14ac:dyDescent="0.35">
      <c r="A4" s="43">
        <v>2</v>
      </c>
      <c r="B4" s="57"/>
      <c r="C4" s="58"/>
      <c r="D4" s="57"/>
      <c r="E4" s="2"/>
      <c r="F4" s="55"/>
      <c r="G4" s="56"/>
      <c r="H4" s="44" t="str">
        <f t="shared" ref="H4:H67" ca="1" si="0">IF(F4="","",YEAR(TODAY())-YEAR(F4)-IF(OR(MONTH(TODAY())&lt;MONTH(F4), AND(MONTH(TODAY())=MONTH(F4), DAY(TODAY())&lt;DAY(F4))),1,0))</f>
        <v/>
      </c>
      <c r="I4" s="56"/>
      <c r="J4" s="56"/>
      <c r="K4" s="57"/>
      <c r="L4" s="45"/>
      <c r="M4" s="50"/>
      <c r="N4" s="46"/>
      <c r="O4" s="47"/>
    </row>
    <row r="5" spans="1:15" s="48" customFormat="1" x14ac:dyDescent="0.35">
      <c r="A5" s="43">
        <v>3</v>
      </c>
      <c r="B5" s="57"/>
      <c r="C5" s="58"/>
      <c r="D5" s="57"/>
      <c r="E5" s="2"/>
      <c r="F5" s="55"/>
      <c r="G5" s="56"/>
      <c r="H5" s="44" t="str">
        <f t="shared" ca="1" si="0"/>
        <v/>
      </c>
      <c r="I5" s="56"/>
      <c r="J5" s="56"/>
      <c r="K5" s="57"/>
      <c r="L5" s="45"/>
      <c r="M5" s="46"/>
      <c r="N5" s="46"/>
      <c r="O5" s="47"/>
    </row>
    <row r="6" spans="1:15" s="48" customFormat="1" x14ac:dyDescent="0.35">
      <c r="A6" s="43">
        <v>4</v>
      </c>
      <c r="B6" s="57"/>
      <c r="C6" s="58"/>
      <c r="D6" s="57"/>
      <c r="E6" s="2"/>
      <c r="F6" s="55"/>
      <c r="G6" s="56"/>
      <c r="H6" s="44" t="str">
        <f t="shared" ca="1" si="0"/>
        <v/>
      </c>
      <c r="I6" s="56"/>
      <c r="J6" s="56"/>
      <c r="K6" s="57"/>
      <c r="L6" s="45"/>
      <c r="M6" s="52"/>
      <c r="N6" s="46"/>
      <c r="O6" s="47"/>
    </row>
    <row r="7" spans="1:15" s="48" customFormat="1" x14ac:dyDescent="0.35">
      <c r="A7" s="43">
        <v>5</v>
      </c>
      <c r="B7" s="57"/>
      <c r="C7" s="58"/>
      <c r="D7" s="57"/>
      <c r="E7" s="2"/>
      <c r="F7" s="55"/>
      <c r="G7" s="56"/>
      <c r="H7" s="44" t="str">
        <f t="shared" ca="1" si="0"/>
        <v/>
      </c>
      <c r="I7" s="56"/>
      <c r="J7" s="56"/>
      <c r="K7" s="57"/>
      <c r="L7" s="45"/>
      <c r="M7" s="52"/>
      <c r="N7" s="46"/>
      <c r="O7" s="47"/>
    </row>
    <row r="8" spans="1:15" s="48" customFormat="1" x14ac:dyDescent="0.35">
      <c r="A8" s="43">
        <v>6</v>
      </c>
      <c r="B8" s="57"/>
      <c r="C8" s="58"/>
      <c r="D8" s="57"/>
      <c r="E8" s="2"/>
      <c r="F8" s="55"/>
      <c r="G8" s="56"/>
      <c r="H8" s="44" t="str">
        <f t="shared" ca="1" si="0"/>
        <v/>
      </c>
      <c r="I8" s="56"/>
      <c r="J8" s="56"/>
      <c r="K8" s="57"/>
      <c r="L8" s="45"/>
      <c r="M8" s="52"/>
      <c r="N8" s="46"/>
      <c r="O8" s="47"/>
    </row>
    <row r="9" spans="1:15" s="48" customFormat="1" x14ac:dyDescent="0.35">
      <c r="A9" s="43">
        <v>7</v>
      </c>
      <c r="B9" s="57"/>
      <c r="C9" s="58"/>
      <c r="D9" s="57"/>
      <c r="E9" s="2"/>
      <c r="F9" s="55"/>
      <c r="G9" s="56"/>
      <c r="H9" s="44" t="str">
        <f t="shared" ca="1" si="0"/>
        <v/>
      </c>
      <c r="I9" s="56"/>
      <c r="J9" s="56"/>
      <c r="K9" s="57"/>
      <c r="L9" s="45"/>
      <c r="M9" s="46"/>
      <c r="N9" s="46"/>
      <c r="O9" s="47"/>
    </row>
    <row r="10" spans="1:15" s="48" customFormat="1" x14ac:dyDescent="0.35">
      <c r="A10" s="43">
        <v>8</v>
      </c>
      <c r="B10" s="57"/>
      <c r="C10" s="58"/>
      <c r="D10" s="57"/>
      <c r="E10" s="2"/>
      <c r="F10" s="55"/>
      <c r="G10" s="56"/>
      <c r="H10" s="44" t="str">
        <f t="shared" ca="1" si="0"/>
        <v/>
      </c>
      <c r="I10" s="56"/>
      <c r="J10" s="56"/>
      <c r="K10" s="57"/>
      <c r="L10" s="45"/>
      <c r="M10" s="46"/>
      <c r="N10" s="46"/>
      <c r="O10" s="47"/>
    </row>
    <row r="11" spans="1:15" s="48" customFormat="1" x14ac:dyDescent="0.35">
      <c r="A11" s="43">
        <v>9</v>
      </c>
      <c r="B11" s="57"/>
      <c r="C11" s="58"/>
      <c r="D11" s="57"/>
      <c r="E11" s="2"/>
      <c r="F11" s="55"/>
      <c r="G11" s="56"/>
      <c r="H11" s="44" t="str">
        <f t="shared" ca="1" si="0"/>
        <v/>
      </c>
      <c r="I11" s="56"/>
      <c r="J11" s="56"/>
      <c r="K11" s="57"/>
      <c r="L11" s="45"/>
      <c r="M11" s="53"/>
      <c r="N11" s="46"/>
      <c r="O11" s="47"/>
    </row>
    <row r="12" spans="1:15" s="48" customFormat="1" x14ac:dyDescent="0.35">
      <c r="A12" s="43">
        <v>10</v>
      </c>
      <c r="B12" s="57"/>
      <c r="C12" s="58"/>
      <c r="D12" s="57"/>
      <c r="E12" s="2"/>
      <c r="F12" s="55"/>
      <c r="G12" s="56"/>
      <c r="H12" s="44" t="str">
        <f t="shared" ca="1" si="0"/>
        <v/>
      </c>
      <c r="I12" s="56"/>
      <c r="J12" s="56"/>
      <c r="K12" s="57"/>
      <c r="L12" s="45"/>
      <c r="M12" s="46"/>
      <c r="N12" s="46"/>
      <c r="O12" s="47"/>
    </row>
    <row r="13" spans="1:15" s="48" customFormat="1" x14ac:dyDescent="0.35">
      <c r="A13" s="43">
        <v>11</v>
      </c>
      <c r="B13" s="57"/>
      <c r="C13" s="58"/>
      <c r="D13" s="57"/>
      <c r="E13" s="2"/>
      <c r="F13" s="55"/>
      <c r="G13" s="56"/>
      <c r="H13" s="44" t="str">
        <f t="shared" ca="1" si="0"/>
        <v/>
      </c>
      <c r="I13" s="56"/>
      <c r="J13" s="56"/>
      <c r="K13" s="57"/>
      <c r="L13" s="45"/>
      <c r="M13" s="50"/>
      <c r="N13" s="46"/>
      <c r="O13" s="47"/>
    </row>
    <row r="14" spans="1:15" s="48" customFormat="1" x14ac:dyDescent="0.35">
      <c r="A14" s="43">
        <v>12</v>
      </c>
      <c r="B14" s="57"/>
      <c r="C14" s="58"/>
      <c r="D14" s="57"/>
      <c r="E14" s="2"/>
      <c r="F14" s="55"/>
      <c r="G14" s="56"/>
      <c r="H14" s="44" t="str">
        <f t="shared" ca="1" si="0"/>
        <v/>
      </c>
      <c r="I14" s="56"/>
      <c r="J14" s="56"/>
      <c r="K14" s="57"/>
      <c r="L14" s="45"/>
      <c r="M14" s="51"/>
      <c r="N14" s="46"/>
      <c r="O14" s="47"/>
    </row>
    <row r="15" spans="1:15" s="48" customFormat="1" x14ac:dyDescent="0.35">
      <c r="A15" s="43">
        <v>13</v>
      </c>
      <c r="B15" s="57"/>
      <c r="C15" s="58"/>
      <c r="D15" s="57"/>
      <c r="E15" s="2"/>
      <c r="F15" s="55"/>
      <c r="G15" s="56"/>
      <c r="H15" s="44" t="str">
        <f t="shared" ca="1" si="0"/>
        <v/>
      </c>
      <c r="I15" s="56"/>
      <c r="J15" s="56"/>
      <c r="K15" s="57"/>
      <c r="L15" s="45"/>
      <c r="M15" s="49"/>
      <c r="N15" s="46"/>
      <c r="O15" s="47"/>
    </row>
    <row r="16" spans="1:15" s="48" customFormat="1" x14ac:dyDescent="0.35">
      <c r="A16" s="43">
        <v>14</v>
      </c>
      <c r="B16" s="57"/>
      <c r="C16" s="58"/>
      <c r="D16" s="57"/>
      <c r="E16" s="2"/>
      <c r="F16" s="55"/>
      <c r="G16" s="56"/>
      <c r="H16" s="44" t="str">
        <f t="shared" ca="1" si="0"/>
        <v/>
      </c>
      <c r="I16" s="56"/>
      <c r="J16" s="56"/>
      <c r="K16" s="57"/>
      <c r="L16" s="45"/>
      <c r="M16" s="46"/>
      <c r="N16" s="46"/>
      <c r="O16" s="47"/>
    </row>
    <row r="17" spans="1:15" s="48" customFormat="1" x14ac:dyDescent="0.35">
      <c r="A17" s="43">
        <v>15</v>
      </c>
      <c r="B17" s="57"/>
      <c r="C17" s="58"/>
      <c r="D17" s="57"/>
      <c r="E17" s="2"/>
      <c r="F17" s="55"/>
      <c r="G17" s="56"/>
      <c r="H17" s="44" t="str">
        <f t="shared" ca="1" si="0"/>
        <v/>
      </c>
      <c r="I17" s="56"/>
      <c r="J17" s="56"/>
      <c r="K17" s="57"/>
      <c r="L17" s="45"/>
      <c r="M17" s="46"/>
      <c r="N17" s="46"/>
      <c r="O17" s="47"/>
    </row>
    <row r="18" spans="1:15" s="48" customFormat="1" x14ac:dyDescent="0.35">
      <c r="A18" s="43">
        <v>16</v>
      </c>
      <c r="B18" s="57"/>
      <c r="C18" s="58"/>
      <c r="D18" s="57"/>
      <c r="E18" s="2"/>
      <c r="F18" s="55"/>
      <c r="G18" s="56"/>
      <c r="H18" s="44" t="str">
        <f t="shared" ca="1" si="0"/>
        <v/>
      </c>
      <c r="I18" s="56"/>
      <c r="J18" s="56"/>
      <c r="K18" s="57"/>
      <c r="L18" s="45"/>
      <c r="M18" s="46"/>
      <c r="N18" s="46"/>
      <c r="O18" s="47"/>
    </row>
    <row r="19" spans="1:15" s="48" customFormat="1" x14ac:dyDescent="0.35">
      <c r="A19" s="43">
        <v>17</v>
      </c>
      <c r="B19" s="57"/>
      <c r="C19" s="58"/>
      <c r="D19" s="57"/>
      <c r="E19" s="2"/>
      <c r="F19" s="55"/>
      <c r="G19" s="56"/>
      <c r="H19" s="44" t="str">
        <f t="shared" ca="1" si="0"/>
        <v/>
      </c>
      <c r="I19" s="56"/>
      <c r="J19" s="56"/>
      <c r="K19" s="57"/>
      <c r="L19" s="45"/>
      <c r="M19" s="46"/>
      <c r="N19" s="46"/>
      <c r="O19" s="47"/>
    </row>
    <row r="20" spans="1:15" s="48" customFormat="1" x14ac:dyDescent="0.35">
      <c r="A20" s="43">
        <v>18</v>
      </c>
      <c r="B20" s="57"/>
      <c r="C20" s="58"/>
      <c r="D20" s="57"/>
      <c r="E20" s="2"/>
      <c r="F20" s="55"/>
      <c r="G20" s="56"/>
      <c r="H20" s="44" t="str">
        <f t="shared" ca="1" si="0"/>
        <v/>
      </c>
      <c r="I20" s="56"/>
      <c r="J20" s="56"/>
      <c r="K20" s="57"/>
      <c r="L20" s="45"/>
      <c r="M20" s="46"/>
      <c r="N20" s="46"/>
      <c r="O20" s="47"/>
    </row>
    <row r="21" spans="1:15" s="48" customFormat="1" x14ac:dyDescent="0.35">
      <c r="A21" s="43">
        <v>19</v>
      </c>
      <c r="B21" s="57"/>
      <c r="C21" s="58"/>
      <c r="D21" s="57"/>
      <c r="E21" s="2"/>
      <c r="F21" s="55"/>
      <c r="G21" s="56"/>
      <c r="H21" s="44" t="str">
        <f t="shared" ca="1" si="0"/>
        <v/>
      </c>
      <c r="I21" s="56"/>
      <c r="J21" s="56"/>
      <c r="K21" s="57"/>
      <c r="L21" s="45"/>
      <c r="M21" s="46"/>
      <c r="N21" s="46"/>
      <c r="O21" s="47"/>
    </row>
    <row r="22" spans="1:15" s="48" customFormat="1" x14ac:dyDescent="0.35">
      <c r="A22" s="43">
        <v>20</v>
      </c>
      <c r="B22" s="57"/>
      <c r="C22" s="58"/>
      <c r="D22" s="57"/>
      <c r="E22" s="2"/>
      <c r="F22" s="55"/>
      <c r="G22" s="56"/>
      <c r="H22" s="44" t="str">
        <f t="shared" ca="1" si="0"/>
        <v/>
      </c>
      <c r="I22" s="56"/>
      <c r="J22" s="56"/>
      <c r="K22" s="57"/>
      <c r="L22" s="45"/>
      <c r="M22" s="46"/>
      <c r="N22" s="46"/>
      <c r="O22" s="47"/>
    </row>
    <row r="23" spans="1:15" s="48" customFormat="1" x14ac:dyDescent="0.35">
      <c r="A23" s="43">
        <v>21</v>
      </c>
      <c r="B23" s="57"/>
      <c r="C23" s="58"/>
      <c r="D23" s="57"/>
      <c r="E23" s="2"/>
      <c r="F23" s="55"/>
      <c r="G23" s="56"/>
      <c r="H23" s="44" t="str">
        <f t="shared" ca="1" si="0"/>
        <v/>
      </c>
      <c r="I23" s="56"/>
      <c r="J23" s="56"/>
      <c r="K23" s="57"/>
      <c r="L23" s="45"/>
      <c r="M23" s="46"/>
      <c r="N23" s="46"/>
      <c r="O23" s="47"/>
    </row>
    <row r="24" spans="1:15" s="48" customFormat="1" x14ac:dyDescent="0.35">
      <c r="A24" s="43">
        <v>22</v>
      </c>
      <c r="B24" s="57"/>
      <c r="C24" s="58"/>
      <c r="D24" s="57"/>
      <c r="E24" s="2"/>
      <c r="F24" s="55"/>
      <c r="G24" s="56"/>
      <c r="H24" s="44" t="str">
        <f t="shared" ca="1" si="0"/>
        <v/>
      </c>
      <c r="I24" s="56"/>
      <c r="J24" s="56"/>
      <c r="K24" s="57"/>
      <c r="L24" s="45"/>
      <c r="M24" s="46"/>
      <c r="N24" s="46"/>
      <c r="O24" s="47"/>
    </row>
    <row r="25" spans="1:15" s="48" customFormat="1" x14ac:dyDescent="0.35">
      <c r="A25" s="43">
        <v>23</v>
      </c>
      <c r="B25" s="57"/>
      <c r="C25" s="58"/>
      <c r="D25" s="57"/>
      <c r="E25" s="2"/>
      <c r="F25" s="55"/>
      <c r="G25" s="56"/>
      <c r="H25" s="44" t="str">
        <f t="shared" ca="1" si="0"/>
        <v/>
      </c>
      <c r="I25" s="56"/>
      <c r="J25" s="56"/>
      <c r="K25" s="57"/>
      <c r="L25" s="45"/>
      <c r="M25" s="46"/>
      <c r="N25" s="46"/>
      <c r="O25" s="47"/>
    </row>
    <row r="26" spans="1:15" s="48" customFormat="1" x14ac:dyDescent="0.35">
      <c r="A26" s="43">
        <v>24</v>
      </c>
      <c r="B26" s="57"/>
      <c r="C26" s="58"/>
      <c r="D26" s="57"/>
      <c r="E26" s="2"/>
      <c r="F26" s="55"/>
      <c r="G26" s="56"/>
      <c r="H26" s="44" t="str">
        <f t="shared" ca="1" si="0"/>
        <v/>
      </c>
      <c r="I26" s="56"/>
      <c r="J26" s="56"/>
      <c r="K26" s="57"/>
      <c r="L26" s="45"/>
      <c r="M26" s="46"/>
      <c r="N26" s="46"/>
      <c r="O26" s="47"/>
    </row>
    <row r="27" spans="1:15" s="48" customFormat="1" x14ac:dyDescent="0.35">
      <c r="A27" s="43">
        <v>25</v>
      </c>
      <c r="B27" s="57"/>
      <c r="C27" s="58"/>
      <c r="D27" s="57"/>
      <c r="E27" s="2"/>
      <c r="F27" s="55"/>
      <c r="G27" s="56"/>
      <c r="H27" s="44" t="str">
        <f t="shared" ca="1" si="0"/>
        <v/>
      </c>
      <c r="I27" s="56"/>
      <c r="J27" s="56"/>
      <c r="K27" s="57"/>
      <c r="L27" s="45"/>
      <c r="M27" s="46"/>
      <c r="N27" s="46"/>
      <c r="O27" s="47"/>
    </row>
    <row r="28" spans="1:15" s="48" customFormat="1" x14ac:dyDescent="0.35">
      <c r="A28" s="43">
        <v>26</v>
      </c>
      <c r="B28" s="57"/>
      <c r="C28" s="58"/>
      <c r="D28" s="57"/>
      <c r="E28" s="2"/>
      <c r="F28" s="55"/>
      <c r="G28" s="56"/>
      <c r="H28" s="44" t="str">
        <f t="shared" ca="1" si="0"/>
        <v/>
      </c>
      <c r="I28" s="56"/>
      <c r="J28" s="56"/>
      <c r="K28" s="57"/>
      <c r="L28" s="45"/>
      <c r="M28" s="46"/>
      <c r="N28" s="46"/>
      <c r="O28" s="47"/>
    </row>
    <row r="29" spans="1:15" s="48" customFormat="1" x14ac:dyDescent="0.35">
      <c r="A29" s="43">
        <v>27</v>
      </c>
      <c r="B29" s="57"/>
      <c r="C29" s="58"/>
      <c r="D29" s="57"/>
      <c r="E29" s="2"/>
      <c r="F29" s="55"/>
      <c r="G29" s="56"/>
      <c r="H29" s="44" t="str">
        <f t="shared" ca="1" si="0"/>
        <v/>
      </c>
      <c r="I29" s="56"/>
      <c r="J29" s="56"/>
      <c r="K29" s="57"/>
      <c r="L29" s="45"/>
      <c r="M29" s="46"/>
      <c r="N29" s="46"/>
      <c r="O29" s="47"/>
    </row>
    <row r="30" spans="1:15" s="48" customFormat="1" x14ac:dyDescent="0.35">
      <c r="A30" s="43">
        <v>28</v>
      </c>
      <c r="B30" s="57"/>
      <c r="C30" s="58"/>
      <c r="D30" s="57"/>
      <c r="E30" s="2"/>
      <c r="F30" s="55"/>
      <c r="G30" s="56"/>
      <c r="H30" s="44" t="str">
        <f t="shared" ca="1" si="0"/>
        <v/>
      </c>
      <c r="I30" s="56"/>
      <c r="J30" s="56"/>
      <c r="K30" s="57"/>
      <c r="L30" s="45"/>
      <c r="M30" s="46"/>
      <c r="N30" s="46"/>
      <c r="O30" s="47"/>
    </row>
    <row r="31" spans="1:15" s="48" customFormat="1" x14ac:dyDescent="0.35">
      <c r="A31" s="43">
        <v>29</v>
      </c>
      <c r="B31" s="57"/>
      <c r="C31" s="58"/>
      <c r="D31" s="57"/>
      <c r="E31" s="2"/>
      <c r="F31" s="55"/>
      <c r="G31" s="56"/>
      <c r="H31" s="44" t="str">
        <f t="shared" ca="1" si="0"/>
        <v/>
      </c>
      <c r="I31" s="56"/>
      <c r="J31" s="56"/>
      <c r="K31" s="57"/>
      <c r="L31" s="45"/>
      <c r="M31" s="46"/>
      <c r="N31" s="46"/>
      <c r="O31" s="47"/>
    </row>
    <row r="32" spans="1:15" s="48" customFormat="1" x14ac:dyDescent="0.35">
      <c r="A32" s="43">
        <v>30</v>
      </c>
      <c r="B32" s="57"/>
      <c r="C32" s="58"/>
      <c r="D32" s="57"/>
      <c r="E32" s="2"/>
      <c r="F32" s="55"/>
      <c r="G32" s="56"/>
      <c r="H32" s="44" t="str">
        <f t="shared" ca="1" si="0"/>
        <v/>
      </c>
      <c r="I32" s="56"/>
      <c r="J32" s="56"/>
      <c r="K32" s="57"/>
      <c r="L32" s="45"/>
      <c r="M32" s="46"/>
      <c r="N32" s="46"/>
      <c r="O32" s="47"/>
    </row>
    <row r="33" spans="1:15" s="48" customFormat="1" x14ac:dyDescent="0.35">
      <c r="A33" s="43">
        <v>31</v>
      </c>
      <c r="B33" s="57"/>
      <c r="C33" s="58"/>
      <c r="D33" s="57"/>
      <c r="E33" s="2"/>
      <c r="F33" s="55"/>
      <c r="G33" s="56"/>
      <c r="H33" s="44" t="str">
        <f t="shared" ca="1" si="0"/>
        <v/>
      </c>
      <c r="I33" s="56"/>
      <c r="J33" s="56"/>
      <c r="K33" s="57"/>
      <c r="L33" s="45"/>
      <c r="M33" s="46"/>
      <c r="N33" s="46"/>
      <c r="O33" s="47"/>
    </row>
    <row r="34" spans="1:15" s="48" customFormat="1" x14ac:dyDescent="0.35">
      <c r="A34" s="43">
        <v>32</v>
      </c>
      <c r="B34" s="57"/>
      <c r="C34" s="58"/>
      <c r="D34" s="57"/>
      <c r="E34" s="2"/>
      <c r="F34" s="55"/>
      <c r="G34" s="56"/>
      <c r="H34" s="44" t="str">
        <f t="shared" ca="1" si="0"/>
        <v/>
      </c>
      <c r="I34" s="56"/>
      <c r="J34" s="56"/>
      <c r="K34" s="57"/>
      <c r="L34" s="45"/>
      <c r="M34" s="46"/>
      <c r="N34" s="46"/>
      <c r="O34" s="47"/>
    </row>
    <row r="35" spans="1:15" s="48" customFormat="1" x14ac:dyDescent="0.35">
      <c r="A35" s="43">
        <v>33</v>
      </c>
      <c r="B35" s="57"/>
      <c r="C35" s="58"/>
      <c r="D35" s="57"/>
      <c r="E35" s="2"/>
      <c r="F35" s="55"/>
      <c r="G35" s="56"/>
      <c r="H35" s="44" t="str">
        <f t="shared" ca="1" si="0"/>
        <v/>
      </c>
      <c r="I35" s="56"/>
      <c r="J35" s="56"/>
      <c r="K35" s="57"/>
      <c r="L35" s="45"/>
      <c r="M35" s="51"/>
      <c r="N35" s="46"/>
      <c r="O35" s="47"/>
    </row>
    <row r="36" spans="1:15" s="48" customFormat="1" x14ac:dyDescent="0.35">
      <c r="A36" s="43">
        <v>34</v>
      </c>
      <c r="B36" s="57"/>
      <c r="C36" s="58"/>
      <c r="D36" s="57"/>
      <c r="E36" s="2"/>
      <c r="F36" s="55"/>
      <c r="G36" s="56"/>
      <c r="H36" s="44" t="str">
        <f t="shared" ca="1" si="0"/>
        <v/>
      </c>
      <c r="I36" s="56"/>
      <c r="J36" s="56"/>
      <c r="K36" s="57"/>
      <c r="L36" s="45"/>
      <c r="M36" s="52"/>
      <c r="N36" s="46"/>
      <c r="O36" s="47"/>
    </row>
    <row r="37" spans="1:15" s="48" customFormat="1" x14ac:dyDescent="0.35">
      <c r="A37" s="43">
        <v>35</v>
      </c>
      <c r="B37" s="57"/>
      <c r="C37" s="58"/>
      <c r="D37" s="57"/>
      <c r="E37" s="2"/>
      <c r="F37" s="55"/>
      <c r="G37" s="56"/>
      <c r="H37" s="44" t="str">
        <f t="shared" ca="1" si="0"/>
        <v/>
      </c>
      <c r="I37" s="56"/>
      <c r="J37" s="56"/>
      <c r="K37" s="57"/>
      <c r="L37" s="45"/>
      <c r="M37" s="52"/>
      <c r="N37" s="46"/>
      <c r="O37" s="47"/>
    </row>
    <row r="38" spans="1:15" s="48" customFormat="1" x14ac:dyDescent="0.35">
      <c r="A38" s="43">
        <v>36</v>
      </c>
      <c r="B38" s="57"/>
      <c r="C38" s="58"/>
      <c r="D38" s="57"/>
      <c r="E38" s="2"/>
      <c r="F38" s="55"/>
      <c r="G38" s="56"/>
      <c r="H38" s="44" t="str">
        <f t="shared" ca="1" si="0"/>
        <v/>
      </c>
      <c r="I38" s="56"/>
      <c r="J38" s="56"/>
      <c r="K38" s="57"/>
      <c r="L38" s="45"/>
      <c r="M38" s="52"/>
      <c r="N38" s="46"/>
      <c r="O38" s="47"/>
    </row>
    <row r="39" spans="1:15" s="48" customFormat="1" x14ac:dyDescent="0.35">
      <c r="A39" s="43">
        <v>37</v>
      </c>
      <c r="B39" s="57"/>
      <c r="C39" s="58"/>
      <c r="D39" s="57"/>
      <c r="E39" s="2"/>
      <c r="F39" s="55"/>
      <c r="G39" s="56"/>
      <c r="H39" s="44" t="str">
        <f t="shared" ca="1" si="0"/>
        <v/>
      </c>
      <c r="I39" s="56"/>
      <c r="J39" s="56"/>
      <c r="K39" s="57"/>
      <c r="L39" s="45"/>
      <c r="M39" s="46"/>
      <c r="N39" s="46"/>
      <c r="O39" s="47"/>
    </row>
    <row r="40" spans="1:15" s="48" customFormat="1" x14ac:dyDescent="0.35">
      <c r="A40" s="43">
        <v>38</v>
      </c>
      <c r="B40" s="57"/>
      <c r="C40" s="58"/>
      <c r="D40" s="57"/>
      <c r="E40" s="2"/>
      <c r="F40" s="55"/>
      <c r="G40" s="56"/>
      <c r="H40" s="44" t="str">
        <f t="shared" ca="1" si="0"/>
        <v/>
      </c>
      <c r="I40" s="56"/>
      <c r="J40" s="56"/>
      <c r="K40" s="57"/>
      <c r="L40" s="45"/>
      <c r="M40" s="50"/>
      <c r="N40" s="46"/>
      <c r="O40" s="47"/>
    </row>
    <row r="41" spans="1:15" s="48" customFormat="1" x14ac:dyDescent="0.35">
      <c r="A41" s="43">
        <v>39</v>
      </c>
      <c r="B41" s="57"/>
      <c r="C41" s="58"/>
      <c r="D41" s="57"/>
      <c r="E41" s="2"/>
      <c r="F41" s="55"/>
      <c r="G41" s="56"/>
      <c r="H41" s="44" t="str">
        <f t="shared" ca="1" si="0"/>
        <v/>
      </c>
      <c r="I41" s="56"/>
      <c r="J41" s="56"/>
      <c r="K41" s="57"/>
      <c r="L41" s="45"/>
      <c r="M41" s="51"/>
      <c r="N41" s="46"/>
      <c r="O41" s="47"/>
    </row>
    <row r="42" spans="1:15" s="48" customFormat="1" x14ac:dyDescent="0.35">
      <c r="A42" s="43">
        <v>40</v>
      </c>
      <c r="B42" s="57"/>
      <c r="C42" s="58"/>
      <c r="D42" s="57"/>
      <c r="E42" s="2"/>
      <c r="F42" s="55"/>
      <c r="G42" s="56"/>
      <c r="H42" s="44" t="str">
        <f t="shared" ca="1" si="0"/>
        <v/>
      </c>
      <c r="I42" s="56"/>
      <c r="J42" s="56"/>
      <c r="K42" s="57"/>
      <c r="L42" s="45"/>
      <c r="M42" s="51"/>
      <c r="N42" s="46"/>
      <c r="O42" s="47"/>
    </row>
    <row r="43" spans="1:15" s="48" customFormat="1" x14ac:dyDescent="0.35">
      <c r="A43" s="43">
        <v>41</v>
      </c>
      <c r="B43" s="57"/>
      <c r="C43" s="58"/>
      <c r="D43" s="57"/>
      <c r="E43" s="2"/>
      <c r="F43" s="55"/>
      <c r="G43" s="56"/>
      <c r="H43" s="44" t="str">
        <f t="shared" ca="1" si="0"/>
        <v/>
      </c>
      <c r="I43" s="56"/>
      <c r="J43" s="56"/>
      <c r="K43" s="57"/>
      <c r="L43" s="45"/>
      <c r="M43" s="50"/>
      <c r="N43" s="46"/>
      <c r="O43" s="47"/>
    </row>
    <row r="44" spans="1:15" s="48" customFormat="1" x14ac:dyDescent="0.35">
      <c r="A44" s="43">
        <v>42</v>
      </c>
      <c r="B44" s="57"/>
      <c r="C44" s="58"/>
      <c r="D44" s="57"/>
      <c r="E44" s="2"/>
      <c r="F44" s="55"/>
      <c r="G44" s="56"/>
      <c r="H44" s="44" t="str">
        <f t="shared" ca="1" si="0"/>
        <v/>
      </c>
      <c r="I44" s="56"/>
      <c r="J44" s="56"/>
      <c r="K44" s="57"/>
      <c r="L44" s="45"/>
      <c r="M44" s="52"/>
      <c r="N44" s="46"/>
      <c r="O44" s="47"/>
    </row>
    <row r="45" spans="1:15" s="48" customFormat="1" x14ac:dyDescent="0.35">
      <c r="A45" s="43">
        <v>43</v>
      </c>
      <c r="B45" s="57"/>
      <c r="C45" s="58"/>
      <c r="D45" s="57"/>
      <c r="E45" s="2"/>
      <c r="F45" s="55"/>
      <c r="G45" s="56"/>
      <c r="H45" s="44" t="str">
        <f t="shared" ca="1" si="0"/>
        <v/>
      </c>
      <c r="I45" s="56"/>
      <c r="J45" s="56"/>
      <c r="K45" s="57"/>
      <c r="L45" s="45"/>
      <c r="M45" s="46"/>
      <c r="N45" s="46"/>
      <c r="O45" s="47"/>
    </row>
    <row r="46" spans="1:15" s="48" customFormat="1" x14ac:dyDescent="0.35">
      <c r="A46" s="43">
        <v>44</v>
      </c>
      <c r="B46" s="57"/>
      <c r="C46" s="58"/>
      <c r="D46" s="57"/>
      <c r="E46" s="2"/>
      <c r="F46" s="55"/>
      <c r="G46" s="56"/>
      <c r="H46" s="44" t="str">
        <f t="shared" ca="1" si="0"/>
        <v/>
      </c>
      <c r="I46" s="56"/>
      <c r="J46" s="56"/>
      <c r="K46" s="57"/>
      <c r="L46" s="45"/>
      <c r="M46" s="51"/>
      <c r="N46" s="46"/>
      <c r="O46" s="47"/>
    </row>
    <row r="47" spans="1:15" s="48" customFormat="1" x14ac:dyDescent="0.35">
      <c r="A47" s="43">
        <v>45</v>
      </c>
      <c r="B47" s="57"/>
      <c r="C47" s="58"/>
      <c r="D47" s="57"/>
      <c r="E47" s="2"/>
      <c r="F47" s="55"/>
      <c r="G47" s="56"/>
      <c r="H47" s="44" t="str">
        <f t="shared" ca="1" si="0"/>
        <v/>
      </c>
      <c r="I47" s="56"/>
      <c r="J47" s="56"/>
      <c r="K47" s="57"/>
      <c r="L47" s="45"/>
      <c r="M47" s="46"/>
      <c r="N47" s="46"/>
      <c r="O47" s="47"/>
    </row>
    <row r="48" spans="1:15" s="48" customFormat="1" x14ac:dyDescent="0.35">
      <c r="A48" s="43">
        <v>46</v>
      </c>
      <c r="B48" s="57"/>
      <c r="C48" s="58"/>
      <c r="D48" s="57"/>
      <c r="E48" s="2"/>
      <c r="F48" s="55"/>
      <c r="G48" s="56"/>
      <c r="H48" s="44" t="str">
        <f t="shared" ca="1" si="0"/>
        <v/>
      </c>
      <c r="I48" s="56"/>
      <c r="J48" s="56"/>
      <c r="K48" s="57"/>
      <c r="L48" s="45"/>
      <c r="M48" s="46"/>
      <c r="N48" s="46"/>
      <c r="O48" s="47"/>
    </row>
    <row r="49" spans="1:15" s="48" customFormat="1" x14ac:dyDescent="0.35">
      <c r="A49" s="43">
        <v>47</v>
      </c>
      <c r="B49" s="57"/>
      <c r="C49" s="58"/>
      <c r="D49" s="57"/>
      <c r="E49" s="2"/>
      <c r="F49" s="55"/>
      <c r="G49" s="56"/>
      <c r="H49" s="44" t="str">
        <f t="shared" ca="1" si="0"/>
        <v/>
      </c>
      <c r="I49" s="56"/>
      <c r="J49" s="56"/>
      <c r="K49" s="57"/>
      <c r="L49" s="45"/>
      <c r="M49" s="46"/>
      <c r="N49" s="46"/>
      <c r="O49" s="47"/>
    </row>
    <row r="50" spans="1:15" s="48" customFormat="1" x14ac:dyDescent="0.35">
      <c r="A50" s="43">
        <v>48</v>
      </c>
      <c r="B50" s="57"/>
      <c r="C50" s="58"/>
      <c r="D50" s="57"/>
      <c r="E50" s="2"/>
      <c r="F50" s="55"/>
      <c r="G50" s="56"/>
      <c r="H50" s="44" t="str">
        <f t="shared" ca="1" si="0"/>
        <v/>
      </c>
      <c r="I50" s="56"/>
      <c r="J50" s="56"/>
      <c r="K50" s="57"/>
      <c r="L50" s="45"/>
      <c r="M50" s="46"/>
      <c r="N50" s="46"/>
      <c r="O50" s="47"/>
    </row>
    <row r="51" spans="1:15" s="48" customFormat="1" x14ac:dyDescent="0.35">
      <c r="A51" s="43">
        <v>49</v>
      </c>
      <c r="B51" s="57"/>
      <c r="C51" s="58"/>
      <c r="D51" s="57"/>
      <c r="E51" s="2"/>
      <c r="F51" s="55"/>
      <c r="G51" s="56"/>
      <c r="H51" s="44" t="str">
        <f t="shared" ca="1" si="0"/>
        <v/>
      </c>
      <c r="I51" s="56"/>
      <c r="J51" s="56"/>
      <c r="K51" s="57"/>
      <c r="L51" s="45"/>
      <c r="M51" s="46"/>
      <c r="N51" s="46"/>
      <c r="O51" s="47"/>
    </row>
    <row r="52" spans="1:15" s="48" customFormat="1" x14ac:dyDescent="0.35">
      <c r="A52" s="43">
        <v>50</v>
      </c>
      <c r="B52" s="57"/>
      <c r="C52" s="58"/>
      <c r="D52" s="57"/>
      <c r="E52" s="2"/>
      <c r="F52" s="55"/>
      <c r="G52" s="56"/>
      <c r="H52" s="44" t="str">
        <f t="shared" ca="1" si="0"/>
        <v/>
      </c>
      <c r="I52" s="56"/>
      <c r="J52" s="56"/>
      <c r="K52" s="57"/>
      <c r="L52" s="45"/>
      <c r="M52" s="46"/>
      <c r="N52" s="46"/>
      <c r="O52" s="47"/>
    </row>
    <row r="53" spans="1:15" s="48" customFormat="1" x14ac:dyDescent="0.35">
      <c r="A53" s="43">
        <v>51</v>
      </c>
      <c r="B53" s="57"/>
      <c r="C53" s="58"/>
      <c r="D53" s="57"/>
      <c r="E53" s="2"/>
      <c r="F53" s="55"/>
      <c r="G53" s="56"/>
      <c r="H53" s="44" t="str">
        <f t="shared" ca="1" si="0"/>
        <v/>
      </c>
      <c r="I53" s="56"/>
      <c r="J53" s="56"/>
      <c r="K53" s="57"/>
      <c r="L53" s="45"/>
      <c r="M53" s="46"/>
      <c r="N53" s="46"/>
      <c r="O53" s="47"/>
    </row>
    <row r="54" spans="1:15" s="48" customFormat="1" x14ac:dyDescent="0.35">
      <c r="A54" s="43">
        <v>52</v>
      </c>
      <c r="B54" s="57"/>
      <c r="C54" s="58"/>
      <c r="D54" s="57"/>
      <c r="E54" s="2"/>
      <c r="F54" s="55"/>
      <c r="G54" s="56"/>
      <c r="H54" s="44" t="str">
        <f t="shared" ca="1" si="0"/>
        <v/>
      </c>
      <c r="I54" s="56"/>
      <c r="J54" s="56"/>
      <c r="K54" s="57"/>
      <c r="L54" s="45"/>
      <c r="M54" s="46"/>
      <c r="N54" s="46"/>
      <c r="O54" s="47"/>
    </row>
    <row r="55" spans="1:15" s="48" customFormat="1" x14ac:dyDescent="0.35">
      <c r="A55" s="43">
        <v>53</v>
      </c>
      <c r="B55" s="57"/>
      <c r="C55" s="58"/>
      <c r="D55" s="57"/>
      <c r="E55" s="2"/>
      <c r="F55" s="55"/>
      <c r="G55" s="56"/>
      <c r="H55" s="44" t="str">
        <f t="shared" ca="1" si="0"/>
        <v/>
      </c>
      <c r="I55" s="56"/>
      <c r="J55" s="56"/>
      <c r="K55" s="57"/>
      <c r="L55" s="45"/>
      <c r="M55" s="46"/>
      <c r="N55" s="46"/>
      <c r="O55" s="47"/>
    </row>
    <row r="56" spans="1:15" s="48" customFormat="1" x14ac:dyDescent="0.35">
      <c r="A56" s="43">
        <v>54</v>
      </c>
      <c r="B56" s="57"/>
      <c r="C56" s="58"/>
      <c r="D56" s="57"/>
      <c r="E56" s="2"/>
      <c r="F56" s="55"/>
      <c r="G56" s="56"/>
      <c r="H56" s="44" t="str">
        <f t="shared" ca="1" si="0"/>
        <v/>
      </c>
      <c r="I56" s="56"/>
      <c r="J56" s="56"/>
      <c r="K56" s="57"/>
      <c r="L56" s="45"/>
      <c r="M56" s="46"/>
      <c r="N56" s="46"/>
      <c r="O56" s="47"/>
    </row>
    <row r="57" spans="1:15" s="48" customFormat="1" x14ac:dyDescent="0.35">
      <c r="A57" s="43">
        <v>55</v>
      </c>
      <c r="B57" s="57"/>
      <c r="C57" s="58"/>
      <c r="D57" s="57"/>
      <c r="E57" s="2"/>
      <c r="F57" s="55"/>
      <c r="G57" s="56"/>
      <c r="H57" s="44" t="str">
        <f t="shared" ca="1" si="0"/>
        <v/>
      </c>
      <c r="I57" s="56"/>
      <c r="J57" s="56"/>
      <c r="K57" s="57"/>
      <c r="L57" s="45"/>
      <c r="M57" s="46"/>
      <c r="N57" s="46"/>
      <c r="O57" s="47"/>
    </row>
    <row r="58" spans="1:15" s="48" customFormat="1" x14ac:dyDescent="0.35">
      <c r="A58" s="43">
        <v>56</v>
      </c>
      <c r="B58" s="57"/>
      <c r="C58" s="58"/>
      <c r="D58" s="57"/>
      <c r="E58" s="2"/>
      <c r="F58" s="55"/>
      <c r="G58" s="56"/>
      <c r="H58" s="44" t="str">
        <f t="shared" ca="1" si="0"/>
        <v/>
      </c>
      <c r="I58" s="56"/>
      <c r="J58" s="56"/>
      <c r="K58" s="57"/>
      <c r="L58" s="45"/>
      <c r="M58" s="46"/>
      <c r="N58" s="46"/>
      <c r="O58" s="47"/>
    </row>
    <row r="59" spans="1:15" s="48" customFormat="1" x14ac:dyDescent="0.35">
      <c r="A59" s="43">
        <v>57</v>
      </c>
      <c r="B59" s="57"/>
      <c r="C59" s="58"/>
      <c r="D59" s="57"/>
      <c r="E59" s="2"/>
      <c r="F59" s="55"/>
      <c r="G59" s="56"/>
      <c r="H59" s="44" t="str">
        <f t="shared" ca="1" si="0"/>
        <v/>
      </c>
      <c r="I59" s="56"/>
      <c r="J59" s="56"/>
      <c r="K59" s="57"/>
      <c r="L59" s="45"/>
      <c r="M59" s="46"/>
      <c r="N59" s="46"/>
      <c r="O59" s="47"/>
    </row>
    <row r="60" spans="1:15" s="48" customFormat="1" x14ac:dyDescent="0.35">
      <c r="A60" s="43">
        <v>58</v>
      </c>
      <c r="B60" s="57"/>
      <c r="C60" s="58"/>
      <c r="D60" s="57"/>
      <c r="E60" s="2"/>
      <c r="F60" s="55"/>
      <c r="G60" s="56"/>
      <c r="H60" s="44" t="str">
        <f t="shared" ca="1" si="0"/>
        <v/>
      </c>
      <c r="I60" s="56"/>
      <c r="J60" s="56"/>
      <c r="K60" s="57"/>
      <c r="L60" s="45"/>
      <c r="M60" s="46"/>
      <c r="N60" s="46"/>
      <c r="O60" s="47"/>
    </row>
    <row r="61" spans="1:15" s="48" customFormat="1" x14ac:dyDescent="0.35">
      <c r="A61" s="43">
        <v>59</v>
      </c>
      <c r="B61" s="57"/>
      <c r="C61" s="58"/>
      <c r="D61" s="57"/>
      <c r="E61" s="2"/>
      <c r="F61" s="55"/>
      <c r="G61" s="56"/>
      <c r="H61" s="44" t="str">
        <f t="shared" ca="1" si="0"/>
        <v/>
      </c>
      <c r="I61" s="56"/>
      <c r="J61" s="56"/>
      <c r="K61" s="57"/>
      <c r="L61" s="45"/>
      <c r="M61" s="46"/>
      <c r="N61" s="46"/>
      <c r="O61" s="47"/>
    </row>
    <row r="62" spans="1:15" s="48" customFormat="1" x14ac:dyDescent="0.35">
      <c r="A62" s="43">
        <v>60</v>
      </c>
      <c r="B62" s="57"/>
      <c r="C62" s="58"/>
      <c r="D62" s="57"/>
      <c r="E62" s="2"/>
      <c r="F62" s="55"/>
      <c r="G62" s="56"/>
      <c r="H62" s="44" t="str">
        <f t="shared" ca="1" si="0"/>
        <v/>
      </c>
      <c r="I62" s="56"/>
      <c r="J62" s="56"/>
      <c r="K62" s="57"/>
      <c r="L62" s="45"/>
      <c r="M62" s="46"/>
      <c r="N62" s="46"/>
      <c r="O62" s="47"/>
    </row>
    <row r="63" spans="1:15" s="48" customFormat="1" x14ac:dyDescent="0.35">
      <c r="A63" s="43">
        <v>61</v>
      </c>
      <c r="B63" s="57"/>
      <c r="C63" s="58"/>
      <c r="D63" s="57"/>
      <c r="E63" s="2"/>
      <c r="F63" s="55"/>
      <c r="G63" s="56"/>
      <c r="H63" s="44" t="str">
        <f t="shared" ca="1" si="0"/>
        <v/>
      </c>
      <c r="I63" s="56"/>
      <c r="J63" s="56"/>
      <c r="K63" s="57"/>
      <c r="L63" s="45"/>
      <c r="M63" s="46"/>
      <c r="N63" s="46"/>
      <c r="O63" s="47"/>
    </row>
    <row r="64" spans="1:15" s="48" customFormat="1" x14ac:dyDescent="0.35">
      <c r="A64" s="43">
        <v>62</v>
      </c>
      <c r="B64" s="57"/>
      <c r="C64" s="58"/>
      <c r="D64" s="57"/>
      <c r="E64" s="2"/>
      <c r="F64" s="55"/>
      <c r="G64" s="56"/>
      <c r="H64" s="44" t="str">
        <f t="shared" ca="1" si="0"/>
        <v/>
      </c>
      <c r="I64" s="56"/>
      <c r="J64" s="56"/>
      <c r="K64" s="57"/>
      <c r="L64" s="45"/>
      <c r="M64" s="46"/>
      <c r="N64" s="46"/>
      <c r="O64" s="47"/>
    </row>
    <row r="65" spans="1:15" s="48" customFormat="1" x14ac:dyDescent="0.35">
      <c r="A65" s="43">
        <v>63</v>
      </c>
      <c r="B65" s="57"/>
      <c r="C65" s="58"/>
      <c r="D65" s="57"/>
      <c r="E65" s="2"/>
      <c r="F65" s="55"/>
      <c r="G65" s="56"/>
      <c r="H65" s="44" t="str">
        <f t="shared" ca="1" si="0"/>
        <v/>
      </c>
      <c r="I65" s="56"/>
      <c r="J65" s="56"/>
      <c r="K65" s="57"/>
      <c r="L65" s="45"/>
      <c r="M65" s="46"/>
      <c r="N65" s="46"/>
      <c r="O65" s="47"/>
    </row>
    <row r="66" spans="1:15" s="48" customFormat="1" x14ac:dyDescent="0.35">
      <c r="A66" s="43">
        <v>64</v>
      </c>
      <c r="B66" s="57"/>
      <c r="C66" s="58"/>
      <c r="D66" s="57"/>
      <c r="E66" s="2"/>
      <c r="F66" s="55"/>
      <c r="G66" s="56"/>
      <c r="H66" s="44" t="str">
        <f t="shared" ca="1" si="0"/>
        <v/>
      </c>
      <c r="I66" s="56"/>
      <c r="J66" s="56"/>
      <c r="K66" s="57"/>
      <c r="L66" s="45"/>
      <c r="M66" s="46"/>
      <c r="N66" s="46"/>
      <c r="O66" s="47"/>
    </row>
    <row r="67" spans="1:15" s="48" customFormat="1" x14ac:dyDescent="0.35">
      <c r="A67" s="43">
        <v>65</v>
      </c>
      <c r="B67" s="2"/>
      <c r="C67" s="49"/>
      <c r="D67" s="2"/>
      <c r="E67" s="2"/>
      <c r="F67" s="25"/>
      <c r="G67" s="44"/>
      <c r="H67" s="44" t="str">
        <f t="shared" ca="1" si="0"/>
        <v/>
      </c>
      <c r="I67" s="45"/>
      <c r="J67" s="46"/>
      <c r="K67" s="57"/>
      <c r="L67" s="45"/>
      <c r="M67" s="46"/>
      <c r="N67" s="46"/>
      <c r="O67" s="47"/>
    </row>
    <row r="68" spans="1:15" s="48" customFormat="1" x14ac:dyDescent="0.35">
      <c r="A68" s="43">
        <v>66</v>
      </c>
      <c r="B68" s="2"/>
      <c r="C68" s="49"/>
      <c r="D68" s="2"/>
      <c r="E68" s="2"/>
      <c r="F68" s="25"/>
      <c r="G68" s="44"/>
      <c r="H68" s="44" t="str">
        <f t="shared" ref="H68:H73" ca="1" si="1">IF(F68="","",YEAR(TODAY())-YEAR(F68)-IF(OR(MONTH(TODAY())&lt;MONTH(F68), AND(MONTH(TODAY())=MONTH(F68), DAY(TODAY())&lt;DAY(F68))),1,0))</f>
        <v/>
      </c>
      <c r="I68" s="45"/>
      <c r="J68" s="46"/>
      <c r="K68" s="57"/>
      <c r="L68" s="45"/>
      <c r="M68" s="46"/>
      <c r="N68" s="46"/>
      <c r="O68" s="47"/>
    </row>
    <row r="69" spans="1:15" s="48" customFormat="1" x14ac:dyDescent="0.35">
      <c r="A69" s="43">
        <v>67</v>
      </c>
      <c r="B69" s="2"/>
      <c r="C69" s="49"/>
      <c r="D69" s="2"/>
      <c r="E69" s="2"/>
      <c r="F69" s="25"/>
      <c r="G69" s="44"/>
      <c r="H69" s="44" t="str">
        <f t="shared" ca="1" si="1"/>
        <v/>
      </c>
      <c r="I69" s="45"/>
      <c r="J69" s="46"/>
      <c r="K69" s="57"/>
      <c r="L69" s="45"/>
      <c r="M69" s="46"/>
      <c r="N69" s="46"/>
      <c r="O69" s="47"/>
    </row>
    <row r="70" spans="1:15" s="48" customFormat="1" x14ac:dyDescent="0.35">
      <c r="A70" s="43">
        <v>68</v>
      </c>
      <c r="B70" s="2"/>
      <c r="C70" s="49"/>
      <c r="D70" s="2"/>
      <c r="E70" s="2"/>
      <c r="F70" s="25"/>
      <c r="G70" s="44"/>
      <c r="H70" s="44" t="str">
        <f t="shared" ca="1" si="1"/>
        <v/>
      </c>
      <c r="I70" s="45"/>
      <c r="J70" s="46"/>
      <c r="K70" s="57"/>
      <c r="L70" s="45"/>
      <c r="M70" s="52"/>
      <c r="N70" s="46"/>
      <c r="O70" s="47"/>
    </row>
    <row r="71" spans="1:15" s="48" customFormat="1" x14ac:dyDescent="0.35">
      <c r="A71" s="43">
        <v>69</v>
      </c>
      <c r="B71" s="2"/>
      <c r="C71" s="49"/>
      <c r="D71" s="2"/>
      <c r="E71" s="2"/>
      <c r="F71" s="25"/>
      <c r="G71" s="44"/>
      <c r="H71" s="44" t="str">
        <f t="shared" ca="1" si="1"/>
        <v/>
      </c>
      <c r="I71" s="45"/>
      <c r="J71" s="51"/>
      <c r="K71" s="57"/>
      <c r="L71" s="45"/>
      <c r="M71" s="52"/>
      <c r="N71" s="46"/>
      <c r="O71" s="47"/>
    </row>
    <row r="72" spans="1:15" s="48" customFormat="1" x14ac:dyDescent="0.35">
      <c r="A72" s="43">
        <v>70</v>
      </c>
      <c r="B72" s="2"/>
      <c r="C72" s="49"/>
      <c r="D72" s="2"/>
      <c r="E72" s="2"/>
      <c r="F72" s="25"/>
      <c r="G72" s="44"/>
      <c r="H72" s="44" t="str">
        <f t="shared" ca="1" si="1"/>
        <v/>
      </c>
      <c r="I72" s="45"/>
      <c r="J72" s="46"/>
      <c r="K72" s="57"/>
      <c r="L72" s="45"/>
      <c r="M72" s="52"/>
      <c r="N72" s="46"/>
      <c r="O72" s="47"/>
    </row>
    <row r="73" spans="1:15" s="48" customFormat="1" x14ac:dyDescent="0.35">
      <c r="A73" s="43">
        <v>71</v>
      </c>
      <c r="B73" s="2"/>
      <c r="C73" s="49"/>
      <c r="D73" s="2"/>
      <c r="E73" s="2"/>
      <c r="F73" s="25"/>
      <c r="G73" s="44"/>
      <c r="H73" s="44" t="str">
        <f t="shared" ca="1" si="1"/>
        <v/>
      </c>
      <c r="I73" s="45"/>
      <c r="J73" s="51"/>
      <c r="K73" s="57"/>
      <c r="L73" s="45"/>
      <c r="M73" s="51"/>
      <c r="N73" s="46"/>
      <c r="O73" s="47"/>
    </row>
    <row r="74" spans="1:15" x14ac:dyDescent="0.35">
      <c r="F74"/>
      <c r="K74" s="54"/>
    </row>
    <row r="75" spans="1:15" x14ac:dyDescent="0.35">
      <c r="F75"/>
      <c r="K75" s="54"/>
    </row>
    <row r="76" spans="1:15" x14ac:dyDescent="0.35">
      <c r="F76"/>
      <c r="K76" s="54"/>
    </row>
    <row r="77" spans="1:15" x14ac:dyDescent="0.35">
      <c r="F77"/>
      <c r="K77" s="54"/>
    </row>
    <row r="78" spans="1:15" x14ac:dyDescent="0.35">
      <c r="F78"/>
      <c r="K78" s="54"/>
    </row>
    <row r="79" spans="1:15" x14ac:dyDescent="0.35">
      <c r="F79"/>
      <c r="K79" s="54"/>
    </row>
    <row r="80" spans="1:15" x14ac:dyDescent="0.35">
      <c r="F80"/>
    </row>
    <row r="81" spans="6:6" x14ac:dyDescent="0.35">
      <c r="F81"/>
    </row>
  </sheetData>
  <autoFilter ref="A2:O73" xr:uid="{DE42B5F9-4D59-436B-9117-544EA72AF595}">
    <sortState xmlns:xlrd2="http://schemas.microsoft.com/office/spreadsheetml/2017/richdata2" ref="A3:O73">
      <sortCondition ref="D2:D73"/>
    </sortState>
  </autoFilter>
  <mergeCells count="2">
    <mergeCell ref="A1:G1"/>
    <mergeCell ref="I1:M1"/>
  </mergeCells>
  <conditionalFormatting sqref="B1:B2 B67:B73">
    <cfRule type="duplicateValues" dxfId="29" priority="117"/>
    <cfRule type="duplicateValues" dxfId="28" priority="118"/>
  </conditionalFormatting>
  <conditionalFormatting sqref="C1:C2 E3">
    <cfRule type="duplicateValues" dxfId="27" priority="25"/>
  </conditionalFormatting>
  <conditionalFormatting sqref="C2">
    <cfRule type="duplicateValues" dxfId="26" priority="27"/>
  </conditionalFormatting>
  <conditionalFormatting sqref="E3">
    <cfRule type="duplicateValues" dxfId="25" priority="29"/>
    <cfRule type="duplicateValues" dxfId="24" priority="30"/>
  </conditionalFormatting>
  <conditionalFormatting sqref="J67:J73">
    <cfRule type="duplicateValues" dxfId="23" priority="121"/>
  </conditionalFormatting>
  <conditionalFormatting sqref="J1:K1 J2">
    <cfRule type="duplicateValues" dxfId="22" priority="31"/>
  </conditionalFormatting>
  <conditionalFormatting sqref="K2">
    <cfRule type="duplicateValues" dxfId="21" priority="22"/>
  </conditionalFormatting>
  <conditionalFormatting sqref="M3">
    <cfRule type="duplicateValues" dxfId="20" priority="20"/>
  </conditionalFormatting>
  <conditionalFormatting sqref="M4">
    <cfRule type="duplicateValues" dxfId="19" priority="19"/>
  </conditionalFormatting>
  <conditionalFormatting sqref="M6">
    <cfRule type="duplicateValues" dxfId="18" priority="15"/>
  </conditionalFormatting>
  <conditionalFormatting sqref="M15">
    <cfRule type="duplicateValues" dxfId="17" priority="18"/>
  </conditionalFormatting>
  <conditionalFormatting sqref="M17">
    <cfRule type="duplicateValues" dxfId="16" priority="17"/>
  </conditionalFormatting>
  <conditionalFormatting sqref="M18">
    <cfRule type="duplicateValues" dxfId="15" priority="14"/>
  </conditionalFormatting>
  <conditionalFormatting sqref="M19">
    <cfRule type="duplicateValues" dxfId="14" priority="16"/>
  </conditionalFormatting>
  <conditionalFormatting sqref="M23 M31 M46 M25 M29 M21 M16 M1:N1 O2 M2 M8:M14">
    <cfRule type="duplicateValues" dxfId="13" priority="32"/>
  </conditionalFormatting>
  <conditionalFormatting sqref="M26">
    <cfRule type="duplicateValues" dxfId="12" priority="13"/>
  </conditionalFormatting>
  <conditionalFormatting sqref="M27">
    <cfRule type="duplicateValues" dxfId="11" priority="5"/>
  </conditionalFormatting>
  <conditionalFormatting sqref="M28">
    <cfRule type="duplicateValues" dxfId="10" priority="7"/>
  </conditionalFormatting>
  <conditionalFormatting sqref="M33">
    <cfRule type="duplicateValues" dxfId="9" priority="12"/>
  </conditionalFormatting>
  <conditionalFormatting sqref="M35">
    <cfRule type="duplicateValues" dxfId="8" priority="11"/>
  </conditionalFormatting>
  <conditionalFormatting sqref="M41">
    <cfRule type="duplicateValues" dxfId="7" priority="6"/>
  </conditionalFormatting>
  <conditionalFormatting sqref="M43">
    <cfRule type="duplicateValues" dxfId="6" priority="9"/>
  </conditionalFormatting>
  <conditionalFormatting sqref="M51">
    <cfRule type="duplicateValues" dxfId="5" priority="8"/>
  </conditionalFormatting>
  <conditionalFormatting sqref="M52">
    <cfRule type="duplicateValues" dxfId="4" priority="4"/>
  </conditionalFormatting>
  <conditionalFormatting sqref="M55:M73">
    <cfRule type="duplicateValues" dxfId="3" priority="122"/>
  </conditionalFormatting>
  <conditionalFormatting sqref="N2">
    <cfRule type="duplicateValues" dxfId="2" priority="23"/>
  </conditionalFormatting>
  <conditionalFormatting sqref="N3:N45 N47:N73">
    <cfRule type="duplicateValues" dxfId="1" priority="123"/>
  </conditionalFormatting>
  <conditionalFormatting sqref="O1:O73">
    <cfRule type="duplicateValues" dxfId="0" priority="12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Inicial</vt:lpstr>
      <vt:lpstr>Listado 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Andres Lozano Caceres</dc:creator>
  <cp:keywords/>
  <dc:description/>
  <cp:lastModifiedBy>GUSTAVO  MARTINEZ MURILLO</cp:lastModifiedBy>
  <cp:revision/>
  <dcterms:created xsi:type="dcterms:W3CDTF">2024-02-06T19:26:41Z</dcterms:created>
  <dcterms:modified xsi:type="dcterms:W3CDTF">2026-10-20T20:42:53Z</dcterms:modified>
  <cp:category/>
  <cp:contentStatus/>
</cp:coreProperties>
</file>