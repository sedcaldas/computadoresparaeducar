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mpueducar-my.sharepoint.com/personal/ybohorquez_cpe_gov_co/Documents/2020/BCKYBOHORQUEZ/2025/DOCUMENTOS/BOLSA TECNOLOGICA/"/>
    </mc:Choice>
  </mc:AlternateContent>
  <xr:revisionPtr revIDLastSave="0" documentId="14_{9A7B4513-65B2-44C7-8913-A46EDFBEB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rio" sheetId="6" r:id="rId1"/>
    <sheet name="Lista Elementos" sheetId="9" r:id="rId2"/>
    <sheet name="Catalogo de Elementos" sheetId="7" state="hidden" r:id="rId3"/>
    <sheet name="Sabana de Seriales Despachados" sheetId="5" state="hidden" r:id="rId4"/>
    <sheet name="Validación Equipos Portatiles" sheetId="1" state="hidden" r:id="rId5"/>
  </sheets>
  <definedNames>
    <definedName name="_xlnm._FilterDatabase" localSheetId="3" hidden="1">'Sabana de Seriales Despachados'!$C$1:$F$1</definedName>
    <definedName name="_xlnm.Print_Area" localSheetId="0">Formulario!$B$4:$L$52</definedName>
    <definedName name="_xlnm.Print_Titles" localSheetId="0">Formulario!$8:$12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7" l="1"/>
  <c r="I64" i="7"/>
  <c r="D68" i="7" l="1"/>
  <c r="D64" i="7"/>
  <c r="I56" i="7"/>
  <c r="I52" i="7"/>
  <c r="D56" i="7"/>
  <c r="D52" i="7"/>
  <c r="I45" i="7"/>
  <c r="I41" i="7"/>
  <c r="D45" i="7"/>
  <c r="D41" i="7"/>
  <c r="I28" i="7"/>
  <c r="I24" i="7"/>
  <c r="D28" i="7"/>
  <c r="D24" i="7"/>
  <c r="I10" i="7"/>
  <c r="I6" i="7"/>
  <c r="D10" i="7"/>
  <c r="D6" i="7"/>
  <c r="F6" i="5"/>
  <c r="F5" i="5"/>
  <c r="F8" i="5"/>
  <c r="F7" i="5"/>
  <c r="F2" i="5"/>
  <c r="A3" i="5"/>
  <c r="A4" i="5"/>
  <c r="A5" i="5"/>
  <c r="A6" i="5"/>
  <c r="A7" i="5"/>
  <c r="A8" i="5"/>
  <c r="A9" i="5"/>
  <c r="A2" i="5"/>
  <c r="F3" i="5"/>
  <c r="F4" i="5" l="1"/>
  <c r="F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Andres Lozano Caceres</author>
  </authors>
  <commentList>
    <comment ref="C32" authorId="0" shapeId="0" xr:uid="{A524772C-470A-4D7D-BAB3-B4B1EE070705}">
      <text>
        <r>
          <rPr>
            <b/>
            <sz val="9"/>
            <color indexed="81"/>
            <rFont val="Tahoma"/>
            <family val="2"/>
          </rPr>
          <t>Si durante la validación de los elementos se detectaron fallas o novedades que requirieron la generación de un caso a través de la mesa de ayuda de CPE, registre en este campo el número del caso asignado.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000-000001000000}">
      <text>
        <r>
          <rPr>
            <sz val="11"/>
            <rFont val="Aptos Narrow"/>
            <family val="2"/>
            <scheme val="minor"/>
          </rPr>
          <t>Corresponde al No. De orden de transporte de los equipos entregados, solicitar a CPE</t>
        </r>
      </text>
    </comment>
    <comment ref="I13" authorId="0" shapeId="0" xr:uid="{00000000-0006-0000-0000-000002000000}">
      <text>
        <r>
          <rPr>
            <sz val="11"/>
            <rFont val="Aptos Narrow"/>
            <family val="2"/>
            <scheme val="minor"/>
          </rPr>
          <t>Corresponde a la sabana de seriales de equipos portatiles despachado por Computadores para Educar. (Esta información debe solicitarse previamente a CPE)</t>
        </r>
      </text>
    </comment>
    <comment ref="J13" authorId="0" shapeId="0" xr:uid="{00000000-0006-0000-0000-000003000000}">
      <text>
        <r>
          <rPr>
            <sz val="11"/>
            <rFont val="Aptos Narrow"/>
            <family val="2"/>
            <scheme val="minor"/>
          </rPr>
          <t>Miguel Andres Lozano Caceres:
Se deben listar todos los seriales encontrados en la sede educativa/entidad territorial.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<sst xmlns="http://schemas.openxmlformats.org/spreadsheetml/2006/main" count="538" uniqueCount="414">
  <si>
    <t>Verificación Serial en Campo</t>
  </si>
  <si>
    <t>Verificación Funcionamiento</t>
  </si>
  <si>
    <t>No.</t>
  </si>
  <si>
    <t># Orden de transporte</t>
  </si>
  <si>
    <t>Radicado</t>
  </si>
  <si>
    <t>Departamento</t>
  </si>
  <si>
    <t>Municipio</t>
  </si>
  <si>
    <t>Codigo Dane Sede</t>
  </si>
  <si>
    <t>Nombre de la Institución Educativa</t>
  </si>
  <si>
    <t>Nombre de la Sede Educativa</t>
  </si>
  <si>
    <t>Serial Despachado CPE</t>
  </si>
  <si>
    <t>Serial Validado (Lider)</t>
  </si>
  <si>
    <t>El serial encontrado en la sede corresponde al despachado inicialmente? (Si/No)</t>
  </si>
  <si>
    <t>¿El equipo enciende correctamente? (Si/No)</t>
  </si>
  <si>
    <t>¿El sistema operativo del equipo inicia correctamente? (Si/No)</t>
  </si>
  <si>
    <t>¿Cargador Funcional?
(Si/No)</t>
  </si>
  <si>
    <t>¿Camara Funcional?
(Si/No)</t>
  </si>
  <si>
    <t>¿Teclado Funcional?
(Si/No)</t>
  </si>
  <si>
    <t>¿ Aplicativo MakeCode - Microbit Instalado?
(Si/No)</t>
  </si>
  <si>
    <t>¿El sonido del equipo funciona correctamente? (Si/No)</t>
  </si>
  <si>
    <t>Observaciones</t>
  </si>
  <si>
    <t>OBSERVACIONES GENERALES</t>
  </si>
  <si>
    <t>Firma:</t>
  </si>
  <si>
    <t>Proceso:</t>
  </si>
  <si>
    <t>Nombre:</t>
  </si>
  <si>
    <t>C.C:</t>
  </si>
  <si>
    <t>Cargo:</t>
  </si>
  <si>
    <t>Radicado:</t>
  </si>
  <si>
    <t>Departamento:</t>
  </si>
  <si>
    <t>Municipio:</t>
  </si>
  <si>
    <t>Fecha Final de validación:</t>
  </si>
  <si>
    <t>No. De Serial</t>
  </si>
  <si>
    <t>No. De Orden de Transporte</t>
  </si>
  <si>
    <t>Fecha de Despacho</t>
  </si>
  <si>
    <t>DETALLE DE VALIDACIÓN</t>
  </si>
  <si>
    <t>Validación de Seriales Entregados en Zona</t>
  </si>
  <si>
    <t>Correo:</t>
  </si>
  <si>
    <t>Nombre de la IE / Entidad Territorial /Biblioteca / Casa de Cultura:</t>
  </si>
  <si>
    <t>Nombre de la Sede Educativa (Si aplica):</t>
  </si>
  <si>
    <t>Fecha Inicial de validación:</t>
  </si>
  <si>
    <t>Código Dane Sede :</t>
  </si>
  <si>
    <t>Teléfono:</t>
  </si>
  <si>
    <t>¿La pantalla táctil funciona correctamente? (Sí/No)</t>
  </si>
  <si>
    <t>IMPRESORA 3D</t>
  </si>
  <si>
    <t>¿La impresora enciende correctamente? (Si/No)</t>
  </si>
  <si>
    <t>Validación de Seriales</t>
  </si>
  <si>
    <t>¿El serial validado en la institución educativa coincide con el serial despachado por CPE?</t>
  </si>
  <si>
    <t>Parametro</t>
  </si>
  <si>
    <t>Cumple (SI / NO)</t>
  </si>
  <si>
    <t xml:space="preserve">No. Serial </t>
  </si>
  <si>
    <t>Funcionamiento</t>
  </si>
  <si>
    <t>Validación Fisica</t>
  </si>
  <si>
    <t>Control remoto con baterias (1)</t>
  </si>
  <si>
    <t>Lapiz interactivo (2)</t>
  </si>
  <si>
    <t>Cable HDMI (2)</t>
  </si>
  <si>
    <t>Cable de Poder (1)</t>
  </si>
  <si>
    <t>Cable USB A Touch (1)</t>
  </si>
  <si>
    <t xml:space="preserve"> Cable de red RJ45 (1)</t>
  </si>
  <si>
    <t>¿Estado Físico de la pantalla interactiva se encuentra en buenas Condiciones? (Sí/No)</t>
  </si>
  <si>
    <t>¿La pantalla enciende correctamente? (Si/No)</t>
  </si>
  <si>
    <t>¿Estado Físico de la impresora 3D se encuentra en buenas Condiciones? (Sí/No)</t>
  </si>
  <si>
    <t>Validación Rollos PLA</t>
  </si>
  <si>
    <t>Estado de Validación en Zona</t>
  </si>
  <si>
    <t>TABLETA</t>
  </si>
  <si>
    <t>Validación de Accesorios</t>
  </si>
  <si>
    <t>Lapiz Touch (1)</t>
  </si>
  <si>
    <t>Teclado con tecnologia Magnetica (1)</t>
  </si>
  <si>
    <t>¿La tableta enciende correctamente? (Si/No)</t>
  </si>
  <si>
    <t>¿Estado Físico de la tableta se encuentra en buenas Condiciones? (Sí/No)</t>
  </si>
  <si>
    <t>GESTOR DE CONTENIDOS</t>
  </si>
  <si>
    <t>¿El gestor de contenidos enciende correctamente? (Si/No)</t>
  </si>
  <si>
    <t>¿Estado Físico del gestor de contenidos se encuentra en buenas Condiciones? (Sí/No)</t>
  </si>
  <si>
    <t>Cable RJ45 (1)</t>
  </si>
  <si>
    <t>Teclado Inalambrico (1)</t>
  </si>
  <si>
    <t>Mouse Inalambrico (1)</t>
  </si>
  <si>
    <t>UPS</t>
  </si>
  <si>
    <t>KIT STEM</t>
  </si>
  <si>
    <t>¿Estado Físico de la UPS se encuentra en buenas Condiciones? (Sí/No)</t>
  </si>
  <si>
    <t>Ensamble completamente el soporte móvil siguiendo las instrucciones del manual.
¿Logró armar correctamente el soporte móvil? (Sí/No)</t>
  </si>
  <si>
    <t>Armado del soporte movil</t>
  </si>
  <si>
    <t>¿Estado Físico del soporte movil se encuentra en buenas Condiciones? (Sí/No)</t>
  </si>
  <si>
    <t>¿La pantalla interactiva se encuentra en la sede beneficiada?</t>
  </si>
  <si>
    <t>¿La impresora 3D se encuentra en la sede beneficiada?</t>
  </si>
  <si>
    <t>¿La tableta se encuentra en la sede beneficiada?</t>
  </si>
  <si>
    <t>¿El gestor de contenidos se encuentra en la sede beneficiada?</t>
  </si>
  <si>
    <t>¿La UPS se encuentra en la sede beneficiada?</t>
  </si>
  <si>
    <t>¿El KIT STEM se encuentra en la sede beneficiada?</t>
  </si>
  <si>
    <t>¿El Soporte Movil se encuentra en la sede beneficiada?</t>
  </si>
  <si>
    <t>Tipo de Elemento</t>
  </si>
  <si>
    <t>Manual Tecnico STEM (1)</t>
  </si>
  <si>
    <t>Verificación de Manuales</t>
  </si>
  <si>
    <t>ROUTER</t>
  </si>
  <si>
    <t>¿El Router se encuentra en la sede beneficiada?</t>
  </si>
  <si>
    <t>¿Al conectar el router, enciende correctamente ? (Si/No)</t>
  </si>
  <si>
    <t>¿Estado Físico del router se encuentra en buenas Condiciones? (Sí/No)</t>
  </si>
  <si>
    <t>Cargador de tableta (2)</t>
  </si>
  <si>
    <t>Base de tableta (1)</t>
  </si>
  <si>
    <t>Caja con Cables de poder (1)</t>
  </si>
  <si>
    <t>Caja con pantalla de impresora (1)</t>
  </si>
  <si>
    <t>Accesorios</t>
  </si>
  <si>
    <t>Caja de herramientas (1)</t>
  </si>
  <si>
    <t>Caja pequeña de repuestos (1)</t>
  </si>
  <si>
    <t>Camas magneticas (3)</t>
  </si>
  <si>
    <t>Rollos PLA x 10</t>
  </si>
  <si>
    <t>Manual Tecnico impresora 3D</t>
  </si>
  <si>
    <t>Manual Tecnico</t>
  </si>
  <si>
    <t>Manual de armado</t>
  </si>
  <si>
    <t>¿La UPS enciende correctamente? (Si/No) (Opcional)</t>
  </si>
  <si>
    <t>Cable de poder (1)</t>
  </si>
  <si>
    <t>Manual tecnico</t>
  </si>
  <si>
    <t>No. De Caso Reportado en la Mesa de Ayuda (Si aplica):</t>
  </si>
  <si>
    <t>REPORTE CASOS DE LA MESA DE AYUDA</t>
  </si>
  <si>
    <t>Manual Tecnico Monitor Interactivo</t>
  </si>
  <si>
    <t>Manual de construcción (1)</t>
  </si>
  <si>
    <t>¿La tableta cuenta con la imagen de CPE?</t>
  </si>
  <si>
    <t xml:space="preserve"> </t>
  </si>
  <si>
    <t>SOPORTE MOVIL PANTALLA INTERACTIVA</t>
  </si>
  <si>
    <t>PANTALLA INTERACTIVA</t>
  </si>
  <si>
    <t>PORTATIL DE DISEÑO</t>
  </si>
  <si>
    <t>¿El portatil enciende correctamente? (Si/No)</t>
  </si>
  <si>
    <t>¿El sistema operativo del equipo inicia correctamente? (Sí/No)</t>
  </si>
  <si>
    <t>¿Cargador funcional?</t>
  </si>
  <si>
    <t>¿Camara Funcional?</t>
  </si>
  <si>
    <t>¿Teclado Funcional?</t>
  </si>
  <si>
    <t>¿El sonido del equipo funciona correctamente?</t>
  </si>
  <si>
    <t>¿Estado Físico del equipo se encuentra en buenas Condiciones? (Sí/No)</t>
  </si>
  <si>
    <t>¿ El equipo cuenta con su respectivo cargador?</t>
  </si>
  <si>
    <t>¿El portatil se encuentra en la sede beneficiada?</t>
  </si>
  <si>
    <t>COMPUTADOR DE ESCRITORIO</t>
  </si>
  <si>
    <t>¿El equipo de escritorio se encuentra en la sede beneficiada?</t>
  </si>
  <si>
    <t>¿El equipo de escritorio enciende correctamente? (Si/No)</t>
  </si>
  <si>
    <t>¿Mouse Funcional?</t>
  </si>
  <si>
    <t>¿Estado Físico del equipo (CPU/MONITOR/MOUSE/TECLADO) se encuentra en buenas Condiciones? (Sí/No)</t>
  </si>
  <si>
    <t>INFORME DE VALIDACIÓN DE ELEMENTOS DE BOLSA TECNOLOGICA ENTREGADOS A LOS BENEFICIARIOS</t>
  </si>
  <si>
    <t>Router</t>
  </si>
  <si>
    <t>Telescopio refractor portátil para astronomía</t>
  </si>
  <si>
    <t>Osciloscopio y generador de señales</t>
  </si>
  <si>
    <t>FUENTE DE VOLTAJE</t>
  </si>
  <si>
    <t>Estación de soldadura y aire caliente</t>
  </si>
  <si>
    <t>UPS 2.0 KVA</t>
  </si>
  <si>
    <t>Videoproyector</t>
  </si>
  <si>
    <t>Impresora 3D</t>
  </si>
  <si>
    <t>FIRMA BENEFICIARIO (Presente en la validación)</t>
  </si>
  <si>
    <t>AUTORIZADO POR CPE</t>
  </si>
  <si>
    <r>
      <rPr>
        <b/>
        <sz val="9"/>
        <color theme="0" tint="-0.34998626667073579"/>
        <rFont val="Verdana"/>
        <family val="2"/>
      </rPr>
      <t>⚠️ INSTRUCCIONES:</t>
    </r>
    <r>
      <rPr>
        <i/>
        <u/>
        <sz val="9"/>
        <color theme="0" tint="-0.34998626667073579"/>
        <rFont val="Verdana"/>
        <family val="2"/>
      </rPr>
      <t xml:space="preserve"> Agregue o elimine los elementos según corresponda.</t>
    </r>
  </si>
  <si>
    <t>No. Orden de Transporte (Cuando aplique):</t>
  </si>
  <si>
    <t>Caja contenedora KIT</t>
  </si>
  <si>
    <t>Lente Intercambiable</t>
  </si>
  <si>
    <t>Trípode fotográfico con cabezal II</t>
  </si>
  <si>
    <t>Luces LED</t>
  </si>
  <si>
    <t>Micrófono tipo Boom</t>
  </si>
  <si>
    <t>Caña para  Microfono de 2 M</t>
  </si>
  <si>
    <t>Micrófono de solapa II</t>
  </si>
  <si>
    <t>Kit de telón estudio fondo verde</t>
  </si>
  <si>
    <t>Estuche de transporte Kit Audio Visual</t>
  </si>
  <si>
    <t>Grabadora portátil estéreo II</t>
  </si>
  <si>
    <t>Audífonos tipo diadema</t>
  </si>
  <si>
    <t>Micrófono condensador</t>
  </si>
  <si>
    <t>Soporte para micrófono articulado</t>
  </si>
  <si>
    <t>Consola de audio</t>
  </si>
  <si>
    <t>Cabina Activa</t>
  </si>
  <si>
    <t>Combo Cargador + Pilas recargables</t>
  </si>
  <si>
    <t>CANTIDAD</t>
  </si>
  <si>
    <t>SERIAL</t>
  </si>
  <si>
    <t>OBSERVACIONES</t>
  </si>
  <si>
    <t>NOMBRE DEL ELEMENTO DESPACHADO</t>
  </si>
  <si>
    <t>ESTADO DE VALIDACIÓN</t>
  </si>
  <si>
    <t>¿Elemento Funcional?
(SI / NO)</t>
  </si>
  <si>
    <t>Nombre OASIS</t>
  </si>
  <si>
    <t>BT PORTATIL DE DISEÑO LENOVO THINKPAD P16S  CTO 158-25</t>
  </si>
  <si>
    <t>BT TABLETA LENOVO IDEA TAB PRO  CTO 158-25</t>
  </si>
  <si>
    <t>BT EQUIPO DE ESCRITORIO PARA DISEÑO CTO 158-25</t>
  </si>
  <si>
    <t>BT EQUIPO DE ESCRITORIO PARA DISEÑO MONITOR CTO 158-25</t>
  </si>
  <si>
    <t>BT IMPRESORA 3D CTO 158-25</t>
  </si>
  <si>
    <t>BT KIT DE FILAMENTO PLA CTO 158-25</t>
  </si>
  <si>
    <t>BT VIDEOPROYECTOR CTO 158-25</t>
  </si>
  <si>
    <t>BT VIDEOPROYECTOR - Cables HMDI CTO 158-25</t>
  </si>
  <si>
    <t>BT SMART TV CTO 158-25</t>
  </si>
  <si>
    <t>BT SOPORTE MOVIL SMART TV CTO 158-25</t>
  </si>
  <si>
    <t>BT PANTALLA INTERACTIVA CTO 158-25</t>
  </si>
  <si>
    <t>BT SPORTE MOVIL PANTALLA INTERACTIVA CTO 158-25</t>
  </si>
  <si>
    <t>BT TV HÍBRIDO/BUSINESS CTO 158-25</t>
  </si>
  <si>
    <t>BT SPORTE MOVIL TV HÍBRIDO/BUSINESS CTO 158-25</t>
  </si>
  <si>
    <t>BT UPS 2.0 KVA CTO 158-25</t>
  </si>
  <si>
    <t>BT UPS 3.0 KVA CTO 158-25</t>
  </si>
  <si>
    <t>BT GESTOR DE CONTENIDOS CTO 158-25</t>
  </si>
  <si>
    <t>BT ROUTER CTO 158-25</t>
  </si>
  <si>
    <t>BT CAMARA FOTOGRAFICA SONY CTO 158-25</t>
  </si>
  <si>
    <t>BT ESTUCHE DE TRANSPORTE CAMARA INDIVIDUAL CTO 158-25</t>
  </si>
  <si>
    <t>BT LENTE CAMARA FOTOGRAFICA 18105 CTO 158-25</t>
  </si>
  <si>
    <t>BT MEMORIAS USD 128 GB CTO 158-25</t>
  </si>
  <si>
    <t>BT CARGADORES CÁMARA FOTOGRÁFICA CTO 158-25</t>
  </si>
  <si>
    <t>BT BATERIAS CAMARA FOTOGRAFICA CTO 158-25</t>
  </si>
  <si>
    <t>BT LENTE INTERCAMBIABLE CAMARA FOTOGRAFICA 55210 CTO 158-25</t>
  </si>
  <si>
    <t>BT TRÍPODE FOTOGRÁFICO CTO 158-25</t>
  </si>
  <si>
    <t>BT LUCES LED CTO 158-25</t>
  </si>
  <si>
    <t>BT MICRÓFONO TIPO BOOM CTO 158-25</t>
  </si>
  <si>
    <t>BT CAÑA PARA  MICROFONO CTO 158-25</t>
  </si>
  <si>
    <t>BT MICRÓFONO DE SOLAPA CTO 158-25</t>
  </si>
  <si>
    <t>BT KIT DE TELÓN ESTUDIO FONDO VERDE  CTO 158-25</t>
  </si>
  <si>
    <t>BT ESTUCHE DE TRANSPORTE KIT AUDIO VISUAL CTO 158-25</t>
  </si>
  <si>
    <t>BT AUDÍFONOS TIPO DIADEMA KAD CTO 158-25</t>
  </si>
  <si>
    <t>BT MICRÓFONO CONDENSADOR CTO 158-25</t>
  </si>
  <si>
    <t>BT MICRÓFONO CONDENSADOR - CABLE XLR</t>
  </si>
  <si>
    <t>BT PROTECTOR MICROFONO CONDENSADOR CTO 158-25</t>
  </si>
  <si>
    <t>BT SOPORTE PARA MICRÓFONO ARTICULADO CTO 158-25</t>
  </si>
  <si>
    <t>BT CONSOLA DE AUDIO CTO 158-25</t>
  </si>
  <si>
    <t>BT GRABADORA PORTÁTIL ESTÉREO CTO 158-25</t>
  </si>
  <si>
    <t>BT CABINA ACTIVA CTO 158-25</t>
  </si>
  <si>
    <t>BT CABINA ACTIVA - CABLE XLR</t>
  </si>
  <si>
    <t>BT COMBO CARGADOR PILAS RECARGABLES CTO 158-25</t>
  </si>
  <si>
    <t>BT DISCO DURO EXTERNO 1 TB CTO 158-25</t>
  </si>
  <si>
    <t>BT DISCO DUROS EXTERNOS 4TB CTO 158-25</t>
  </si>
  <si>
    <t>BT KIT DE MANTENIMIENTO CTO 158-25</t>
  </si>
  <si>
    <t>BT LÍNEA BRAILLE CON TECLADO QWERTY CTO 158-25</t>
  </si>
  <si>
    <t>BT Lector y Reconocedor de Texto Portátil CTO 158-25</t>
  </si>
  <si>
    <t>BT Panel de Comunicación Multisensorial - MPAD CTO 158-25</t>
  </si>
  <si>
    <t>BT ESOB TIPO COLLAR CTO 158-25</t>
  </si>
  <si>
    <t>BT Impresora Braille CTO 158-25</t>
  </si>
  <si>
    <t>BT Línea Braille con Teclado Perkins CTO 158-25</t>
  </si>
  <si>
    <t>BT Línea Braille Portátil CTO 158-25</t>
  </si>
  <si>
    <t>BT Ampliador de Video Electrónico CTO 158-25</t>
  </si>
  <si>
    <t>BT Ampliador de Video con Pantalla Integrada CTO 158-25</t>
  </si>
  <si>
    <t>BT Lupa Electrónica Portátil de Mano CTO 158-25</t>
  </si>
  <si>
    <t>BT Lector Multimedia con Reconocimiento de Texto OCR CTO 158-25</t>
  </si>
  <si>
    <t>BT Sistema de Lectura Automática de Documentos CTO 158-25</t>
  </si>
  <si>
    <t>BT Teclado Portátil Tipo RiVO CTO 158-25</t>
  </si>
  <si>
    <t>BT Teclado Tipo PalmOn CTO 158-25</t>
  </si>
  <si>
    <t>BT Dispositivo Apuntador Tipo BIG Track CTO 158-25</t>
  </si>
  <si>
    <t>BT Monitor Multitáctil de 24 Pulgadas CTO 158-25</t>
  </si>
  <si>
    <t>BT Interruptor SIP y Puff con diadema CTO 158-25</t>
  </si>
  <si>
    <t>BT KIT ANALISIS Y MEDICION CTO 158-25</t>
  </si>
  <si>
    <t>BT TELESCOPIO REFRACTOR PORTÁTIL PARA ASTRONOMÍA CTO 158-25</t>
  </si>
  <si>
    <t>BT SENSOR DE INTELIGENCIA ARTIFICIAL (CÁMARA Y PANTALLA) CTO 158-25</t>
  </si>
  <si>
    <t>BT CRONÓMETRO DIGITAL DE MANO CTO 158-25</t>
  </si>
  <si>
    <t>BT OSCILOSCOPIO Y GENERADOR DE SEÑALES CTO 158-25</t>
  </si>
  <si>
    <t>BT MULTIMETRO DIGITAL CTO 158-25</t>
  </si>
  <si>
    <t>BT FUENTE REGULADA VARIABLE 30V - 10A, LED DISPLAY 4 DIGITOS CTO 158-25</t>
  </si>
  <si>
    <t>BT ESTACIÓN DE SOLDADURA Y AIRE CALIENTE CTO 158-25</t>
  </si>
  <si>
    <t>BT KIT AGRICULTURA INTELIGENTE CTO 158-25</t>
  </si>
  <si>
    <t>BT KIT EXPLORACION CIENTIFICA CTO 158-25</t>
  </si>
  <si>
    <t>BT KIT ELECTRICIDAD Y MAGNETISMO CTO 158-25</t>
  </si>
  <si>
    <t>BT KIT DE ELEMENTOS ARMABLES CTO 158-25</t>
  </si>
  <si>
    <t>BT CAJA DE LADRILLOS CREATIVOS CTO 158-25</t>
  </si>
  <si>
    <t>BT KIT ROBOT DE APRENDIZAJE TEMPRANO CTO 158-25</t>
  </si>
  <si>
    <t>BT JUEGO DE MESA EDUCATIVO STEM CTO 158-25</t>
  </si>
  <si>
    <t>BT KIT AVANZADO DE 45 SENSORES PARA MICRO:BIT CTO 158-25</t>
  </si>
  <si>
    <t>BT KIT DE 45 SENSORES PARA ARDUINO Y RASPBERRY PI CTO 158-25</t>
  </si>
  <si>
    <t>BT KIT DE 45 SENSORES PARA ARDUINO Y CAMARA RASPBERRY PI CTO 158-25</t>
  </si>
  <si>
    <t>BT KIT DE DESARROLLO PARA IA JETSON NANO CTO 158-25</t>
  </si>
  <si>
    <t>BT MÓDULO DE CÁMARA DE 8 MEGAPÍXELES COMPATIBLE CON JETSON NANO Y RASBERRY PI 5 CTO 158-25</t>
  </si>
  <si>
    <t>BT KIT DE ELECTRÓNICA BÁSICO CTO 158-25</t>
  </si>
  <si>
    <t>BT TECLADO PARA COMPUTADOR CTO 158-25</t>
  </si>
  <si>
    <t>BT RATÓN CTO 158-25</t>
  </si>
  <si>
    <t>BT PARLANTE PARA PC CTO 158-25</t>
  </si>
  <si>
    <t>BT AUDIFONOS DE DIADEMA CTO 158-25</t>
  </si>
  <si>
    <t>Parámetro</t>
  </si>
  <si>
    <t>COD 
OASIS</t>
  </si>
  <si>
    <t>Elemento</t>
  </si>
  <si>
    <t>PORTATIL</t>
  </si>
  <si>
    <t>Portatil de diseño</t>
  </si>
  <si>
    <t>Tableta</t>
  </si>
  <si>
    <t>Desktop para diseño - Torre</t>
  </si>
  <si>
    <t>Desktop para diseño - Pantalla + Taclado + Mouse</t>
  </si>
  <si>
    <t>TECNOLOGÍA DE IMPRESIÓN 3D</t>
  </si>
  <si>
    <t>kit de Filamento PLA</t>
  </si>
  <si>
    <t>TECNOLOGÍA DE VISUALIZACIÓN AUDIOVISUAL</t>
  </si>
  <si>
    <t>Cables HMDI</t>
  </si>
  <si>
    <t>Smart TV</t>
  </si>
  <si>
    <t>Soporte Smart TV</t>
  </si>
  <si>
    <t>Pantalla iteractiva</t>
  </si>
  <si>
    <t>Soporte TV híbrido/Business</t>
  </si>
  <si>
    <t>Soporte Pantalla Interactiva</t>
  </si>
  <si>
    <t>TV híbrido/Business</t>
  </si>
  <si>
    <t>UPS 3.0 KVA</t>
  </si>
  <si>
    <t>Gestor de contenidos</t>
  </si>
  <si>
    <t>Cámara fotográfica</t>
  </si>
  <si>
    <t>Forro camara fotografica</t>
  </si>
  <si>
    <t>Lente camara fotografica</t>
  </si>
  <si>
    <t>Tarjeta de Memoria Micro SD 128</t>
  </si>
  <si>
    <t>Cargadores (Adicionales)</t>
  </si>
  <si>
    <t>Baterias (Adicionales)</t>
  </si>
  <si>
    <t>DISCOS DUROS EXTERNOS</t>
  </si>
  <si>
    <t>Disco duro externo 1 TB</t>
  </si>
  <si>
    <t>Disco duros externos 4TB</t>
  </si>
  <si>
    <t>Manilla Antiestática</t>
  </si>
  <si>
    <t>Kit destornilladores de precisión</t>
  </si>
  <si>
    <t>Kit de limpieza</t>
  </si>
  <si>
    <t>Pinzas</t>
  </si>
  <si>
    <t>Cortador de cable</t>
  </si>
  <si>
    <t>Limpiador electronico</t>
  </si>
  <si>
    <t>Paño Microdelgado</t>
  </si>
  <si>
    <t>Kitde Espátulas para apertura de portátiles</t>
  </si>
  <si>
    <t>Cinta aislante</t>
  </si>
  <si>
    <t>Cinta doble faz</t>
  </si>
  <si>
    <t>Cautín con Base</t>
  </si>
  <si>
    <t>Rollo de estaño</t>
  </si>
  <si>
    <t>Extractor de estaño</t>
  </si>
  <si>
    <t>Crema disipadora de calor</t>
  </si>
  <si>
    <t>Pasta para soldar</t>
  </si>
  <si>
    <t>Sopladora</t>
  </si>
  <si>
    <t>Pistola de Calor</t>
  </si>
  <si>
    <t>Maleta Organizadora Kit de Mantenimiento</t>
  </si>
  <si>
    <t>KIT ASISTENCIA TECNOLÓGICA PARA APOYOS A LA INCLUSIÓN</t>
  </si>
  <si>
    <t>Línea Braille con Teclado QWERTY</t>
  </si>
  <si>
    <t>Lector y Reconocedor de Texto Portátil</t>
  </si>
  <si>
    <t>Panel de Comunicación Multisensorial - MPAD</t>
  </si>
  <si>
    <t>ESOB Tipo Collar</t>
  </si>
  <si>
    <t>IMPRESORA BRAILLE</t>
  </si>
  <si>
    <t>Impresora Braille</t>
  </si>
  <si>
    <t>DISPPOSITIVOS DE ASISTENCIA TECNOLÓGICA PARA APOYOS A LA INCLUSIÓN</t>
  </si>
  <si>
    <t>Línea Braille con Teclado Perkins</t>
  </si>
  <si>
    <t>Línea Braille Portátil</t>
  </si>
  <si>
    <t>Ampliador de Video Electrónico</t>
  </si>
  <si>
    <t>Ampliador de Video con Pantalla Integrada</t>
  </si>
  <si>
    <t>Lupa Electrónica Portátil de Mano</t>
  </si>
  <si>
    <t>Lector Multimedia con Reconocimiento de Texto OCR</t>
  </si>
  <si>
    <t>Sistema de Lectura Automática de Documentos</t>
  </si>
  <si>
    <t>Teclado Portátil Tipo RiVO</t>
  </si>
  <si>
    <t>Teclado Tipo PalmOn</t>
  </si>
  <si>
    <t>Dispositivo Apuntador Tipo BIG Track</t>
  </si>
  <si>
    <t>Monitor Multitáctil de 24 Pulgadas</t>
  </si>
  <si>
    <t>Interruptor SIP y Puff con diadema</t>
  </si>
  <si>
    <t>Kit profesional de prueba de suelo</t>
  </si>
  <si>
    <t>Medidor para suelo</t>
  </si>
  <si>
    <t>Termómetro para suelo</t>
  </si>
  <si>
    <t>Medidor digital agua</t>
  </si>
  <si>
    <t>TELESCOPIO</t>
  </si>
  <si>
    <t>SENSOR DE INTELIGENCIA ARTIFICIAL</t>
  </si>
  <si>
    <t>Sensor de inteligencia artificial (Cámara y pantalla)</t>
  </si>
  <si>
    <t>CRONOMETRO DIGITAL</t>
  </si>
  <si>
    <t>Cronómetro digital de mano</t>
  </si>
  <si>
    <t>OSCILOSCOPIO DIGITAL</t>
  </si>
  <si>
    <t>MULTIMETRO DIGITAL</t>
  </si>
  <si>
    <t>Multimetro Digital</t>
  </si>
  <si>
    <t>Fuente regulada variable 30V - 10A, LED display 4 digitos</t>
  </si>
  <si>
    <t>ESTACION DE SOLDADURA</t>
  </si>
  <si>
    <t>Kit de agricultura inteligente</t>
  </si>
  <si>
    <t>Caja organizadora</t>
  </si>
  <si>
    <t>Kit de laboratorio óptico escolar (microscopio monocular óptico escolar)</t>
  </si>
  <si>
    <t xml:space="preserve">Portaobjetos en blanco </t>
  </si>
  <si>
    <t xml:space="preserve">Cubreobjetos de Microscopio </t>
  </si>
  <si>
    <t xml:space="preserve">Etiquetas adhesivas </t>
  </si>
  <si>
    <t xml:space="preserve">Papel para limpieza </t>
  </si>
  <si>
    <t>Tubos plásticos de muestra</t>
  </si>
  <si>
    <t xml:space="preserve">Pipetas Pasteur </t>
  </si>
  <si>
    <t xml:space="preserve">Guantes desechables </t>
  </si>
  <si>
    <t>Kit de herramientas de laboratorio científico multifuncional</t>
  </si>
  <si>
    <t>Baterías AA recargables x 4 + cargador (Si aplica)</t>
  </si>
  <si>
    <t>Kit electricidad y magnetismo</t>
  </si>
  <si>
    <t>Bombillos miniatura</t>
  </si>
  <si>
    <t>Hilo conductor flexible (cobre estañado)</t>
  </si>
  <si>
    <t>Imanes pequeños cilíndricos o de barra</t>
  </si>
  <si>
    <t>Pinzas tipo caimán a caimán</t>
  </si>
  <si>
    <t>Pinzas tipo caimán a jumper</t>
  </si>
  <si>
    <t>Clips metálicos</t>
  </si>
  <si>
    <t>Papel aluminio</t>
  </si>
  <si>
    <t>Kit caja de ladrillos creativos - Kit ATAo Electrónico</t>
  </si>
  <si>
    <t>Kit caja de ladrillos creativos</t>
  </si>
  <si>
    <t>TECNOLOGIA DESCONECTADA PARA NIÑOS Y NIÑAS</t>
  </si>
  <si>
    <t>Kit Robot de Aprendizaje Temprano</t>
  </si>
  <si>
    <t>Juego de mesa educativo STEM</t>
  </si>
  <si>
    <t>Placa BBC micro:bit Go V2.</t>
  </si>
  <si>
    <t>Kit avanzado KEYESTUDIO de 45 sensores para MICRO:BIT</t>
  </si>
  <si>
    <t>KIT DE 45 SENSORES PARA ARDUINO Y RASPBERRY PI</t>
  </si>
  <si>
    <t>Placa Arduino Mega 2560 Rev3 - KIT DE 45 SENSORES PARA ARDUINO Y RASPBERRY PI</t>
  </si>
  <si>
    <t>Raspberry Pi 5 / 8GB RAM (con Accesorioa)</t>
  </si>
  <si>
    <t>Cámara 5mpx para Rasberry Pi</t>
  </si>
  <si>
    <t>KIT DE DESARROLLO PARA IA JETSON NANO</t>
  </si>
  <si>
    <t>Placa Jetson Nano de 16 GB - Módulo de cámara de 8 megapíxeles compatible con Jetson Nano y Rasberry Pi 5</t>
  </si>
  <si>
    <t>Módulo de cámara de 8 megapíxeles compatible con Jetson Nano y Rasberry Pi 5</t>
  </si>
  <si>
    <t>Protoboard</t>
  </si>
  <si>
    <t>Motor Dc 3v-6v</t>
  </si>
  <si>
    <t>Servomotor Micro Servo Sg90</t>
  </si>
  <si>
    <t>Modulo bluetooth</t>
  </si>
  <si>
    <t>Motor Paso A Paso 5v Con placa Driver UNLl2003</t>
  </si>
  <si>
    <t>Foto Resistencias Gl5528 (paquete x 20)</t>
  </si>
  <si>
    <t>Transistor De Potencia Npn-( Paquete X 5)</t>
  </si>
  <si>
    <t>Potenciómetros de perilla (Paquete por 8 potenciómetros)</t>
  </si>
  <si>
    <t>Cinta conductiva de cobre adhesiva</t>
  </si>
  <si>
    <t>Pulsadores (paquete por 5 unidades)</t>
  </si>
  <si>
    <t>Regulador lineal de voltaje (paquete x 5)</t>
  </si>
  <si>
    <t>COMBO DE PILAS x 4 AA DE 1500mA + EL CARGADOR</t>
  </si>
  <si>
    <t>Cables Jumpers 20cm (25 Cables M-M, 25 Cables M-H)</t>
  </si>
  <si>
    <t>Juego De Destornilladores De Precisión De 16 Piezas</t>
  </si>
  <si>
    <t>Juego de cautín, soldadura, porta cautín, desoldador y pasta para soldar</t>
  </si>
  <si>
    <t>Panel solar con cables</t>
  </si>
  <si>
    <t>Zumbador o Buzzer para generar una alarma sonora o un indicador con sonido</t>
  </si>
  <si>
    <t>Batería 9v Cuadrada recargable + cargador + Conector Plug Dc A broche</t>
  </si>
  <si>
    <t>Juego de 10 Cables Caimán a Caimán, Colores variados.</t>
  </si>
  <si>
    <t>Kit Smart Car Chasis Acrílico Robótica (Kit Chasis de Acrílico)</t>
  </si>
  <si>
    <t>Driver Para Motor Puente H Mx1508 Mini L298n (placa de circuito)</t>
  </si>
  <si>
    <t>Sensor De Línea Cny70 Seguidor De Línea</t>
  </si>
  <si>
    <t>Batería CR2030</t>
  </si>
  <si>
    <t>Interruptor Balancin Redondo Con Piloto 3P- 2P</t>
  </si>
  <si>
    <t>Modulo Sensor de Sonido LM393 Ajustable con Microfono</t>
  </si>
  <si>
    <t>Kit Didáctico Semáforo Mini Laboratorio Electrónico</t>
  </si>
  <si>
    <t>Caja contenedora General plástica con tapa y divisiones</t>
  </si>
  <si>
    <t>Resistencias (x300)</t>
  </si>
  <si>
    <t>Leds (x500)</t>
  </si>
  <si>
    <t>Malet organizadora para KIT de electrónica básica</t>
  </si>
  <si>
    <t>ELEMENTOS CONSUMIBLES</t>
  </si>
  <si>
    <t>Teclado para computador</t>
  </si>
  <si>
    <t>Ratón</t>
  </si>
  <si>
    <t>Parlante para PC</t>
  </si>
  <si>
    <t>Audifonos de diadema</t>
  </si>
  <si>
    <t>¿El serial validado en la institución educativa coincide con el serial despachado por CPE?
(SI /NO)</t>
  </si>
  <si>
    <t>Versión
1</t>
  </si>
  <si>
    <t>Pagina 1 de 1</t>
  </si>
  <si>
    <t>Fecha: 
Octubre /2026</t>
  </si>
  <si>
    <t>Código 
LOG-029-F</t>
  </si>
  <si>
    <t>Logistica</t>
  </si>
  <si>
    <t xml:space="preserve">Yuby Caterine Bohórquez </t>
  </si>
  <si>
    <t>Profesional logistico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</si>
</sst>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name val="Aptos Narrow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8"/>
      <name val="Aptos Narrow"/>
      <family val="2"/>
    </font>
    <font>
      <sz val="11"/>
      <name val="Aptos Narrow"/>
      <family val="2"/>
    </font>
    <font>
      <b/>
      <sz val="16"/>
      <name val="Aptos Narrow"/>
      <family val="2"/>
    </font>
    <font>
      <sz val="20"/>
      <name val="Aptos Narrow"/>
      <family val="2"/>
    </font>
    <font>
      <b/>
      <sz val="11"/>
      <color theme="0"/>
      <name val="Aptos Narrow"/>
      <family val="2"/>
      <scheme val="minor"/>
    </font>
    <font>
      <b/>
      <sz val="9"/>
      <color theme="1"/>
      <name val="Verdana"/>
      <family val="2"/>
    </font>
    <font>
      <b/>
      <sz val="9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i/>
      <sz val="9"/>
      <name val="Verdana"/>
      <family val="2"/>
    </font>
    <font>
      <b/>
      <sz val="18"/>
      <color theme="3" tint="0.249977111117893"/>
      <name val="Verdana"/>
      <family val="2"/>
    </font>
    <font>
      <sz val="11"/>
      <name val="Aptos Narrow"/>
      <family val="2"/>
      <scheme val="minor"/>
    </font>
    <font>
      <b/>
      <sz val="11"/>
      <color theme="1"/>
      <name val="Verdana"/>
      <family val="2"/>
    </font>
    <font>
      <b/>
      <sz val="14"/>
      <color theme="1"/>
      <name val="Verdana"/>
      <family val="2"/>
    </font>
    <font>
      <b/>
      <sz val="10"/>
      <color theme="1"/>
      <name val="Verdana"/>
      <family val="2"/>
    </font>
    <font>
      <sz val="10"/>
      <name val="Aptos Narrow"/>
      <family val="2"/>
      <scheme val="minor"/>
    </font>
    <font>
      <sz val="10"/>
      <color theme="1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0" tint="-0.249977111117893"/>
      <name val="Verdana"/>
      <family val="2"/>
    </font>
    <font>
      <i/>
      <u/>
      <sz val="9"/>
      <color theme="0" tint="-0.34998626667073579"/>
      <name val="Verdana"/>
      <family val="2"/>
    </font>
    <font>
      <b/>
      <sz val="9"/>
      <color theme="0" tint="-0.34998626667073579"/>
      <name val="Verdana"/>
      <family val="2"/>
    </font>
    <font>
      <b/>
      <sz val="10"/>
      <color rgb="FF000000"/>
      <name val="Franklin Gothic Book"/>
      <family val="2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color rgb="FF000000"/>
      <name val="Franklin Gothic Book"/>
      <family val="2"/>
    </font>
    <font>
      <b/>
      <sz val="1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275317"/>
        <bgColor rgb="FF275317"/>
      </patternFill>
    </fill>
    <fill>
      <patternFill patternType="solid">
        <fgColor rgb="FF171717"/>
        <bgColor rgb="FF171717"/>
      </patternFill>
    </fill>
    <fill>
      <patternFill patternType="solid">
        <fgColor rgb="FFD8D8D8"/>
        <bgColor rgb="FFD8D8D8"/>
      </patternFill>
    </fill>
    <fill>
      <patternFill patternType="solid">
        <fgColor rgb="FF84E291"/>
        <bgColor rgb="FF84E29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0" tint="-0.249977111117893"/>
      </bottom>
      <diagonal/>
    </border>
    <border>
      <left/>
      <right/>
      <top style="thin">
        <color theme="2" tint="-0.249977111117893"/>
      </top>
      <bottom style="thin">
        <color theme="0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0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2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8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0" xfId="1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8" fillId="0" borderId="7" xfId="1" applyFont="1" applyBorder="1" applyAlignment="1" applyProtection="1">
      <alignment horizontal="center" vertical="center" wrapText="1"/>
      <protection locked="0"/>
    </xf>
    <xf numFmtId="0" fontId="10" fillId="0" borderId="9" xfId="1" applyFont="1" applyBorder="1" applyAlignment="1" applyProtection="1">
      <alignment vertical="center"/>
      <protection locked="0"/>
    </xf>
    <xf numFmtId="0" fontId="7" fillId="8" borderId="19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wrapText="1"/>
    </xf>
    <xf numFmtId="0" fontId="0" fillId="0" borderId="1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/>
    </xf>
    <xf numFmtId="0" fontId="10" fillId="0" borderId="8" xfId="1" applyFont="1" applyBorder="1" applyAlignment="1" applyProtection="1">
      <alignment vertical="center"/>
      <protection locked="0"/>
    </xf>
    <xf numFmtId="0" fontId="10" fillId="0" borderId="10" xfId="1" applyFont="1" applyBorder="1" applyAlignment="1" applyProtection="1">
      <alignment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8" fillId="0" borderId="16" xfId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8" fillId="0" borderId="23" xfId="0" applyFont="1" applyBorder="1" applyProtection="1">
      <protection locked="0"/>
    </xf>
    <xf numFmtId="0" fontId="18" fillId="0" borderId="24" xfId="0" applyFont="1" applyBorder="1" applyProtection="1">
      <protection locked="0"/>
    </xf>
    <xf numFmtId="0" fontId="19" fillId="0" borderId="23" xfId="1" applyFont="1" applyBorder="1" applyAlignment="1" applyProtection="1">
      <alignment horizontal="right"/>
      <protection locked="0"/>
    </xf>
    <xf numFmtId="0" fontId="19" fillId="0" borderId="18" xfId="1" applyFont="1" applyBorder="1" applyProtection="1">
      <protection locked="0"/>
    </xf>
    <xf numFmtId="0" fontId="19" fillId="0" borderId="23" xfId="1" applyFont="1" applyBorder="1" applyAlignment="1" applyProtection="1">
      <alignment horizontal="right" vertical="center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8" fillId="0" borderId="27" xfId="1" applyFont="1" applyBorder="1" applyAlignment="1" applyProtection="1">
      <alignment horizontal="center" vertical="center" wrapText="1"/>
      <protection locked="0"/>
    </xf>
    <xf numFmtId="0" fontId="0" fillId="0" borderId="27" xfId="0" applyBorder="1" applyProtection="1">
      <protection locked="0"/>
    </xf>
    <xf numFmtId="0" fontId="8" fillId="0" borderId="29" xfId="1" applyFont="1" applyBorder="1" applyAlignment="1" applyProtection="1">
      <alignment horizontal="center" vertical="center" wrapText="1"/>
      <protection locked="0"/>
    </xf>
    <xf numFmtId="0" fontId="18" fillId="0" borderId="0" xfId="0" applyFont="1" applyProtection="1">
      <protection locked="0"/>
    </xf>
    <xf numFmtId="0" fontId="19" fillId="0" borderId="0" xfId="1" applyFont="1" applyAlignment="1" applyProtection="1">
      <alignment vertical="center"/>
      <protection locked="0"/>
    </xf>
    <xf numFmtId="0" fontId="19" fillId="0" borderId="0" xfId="1" applyFont="1" applyAlignment="1" applyProtection="1">
      <alignment horizontal="left" vertical="center"/>
      <protection locked="0"/>
    </xf>
    <xf numFmtId="0" fontId="19" fillId="0" borderId="0" xfId="1" applyFont="1" applyAlignment="1" applyProtection="1">
      <alignment vertical="center" wrapText="1"/>
      <protection locked="0"/>
    </xf>
    <xf numFmtId="0" fontId="19" fillId="0" borderId="0" xfId="1" applyFont="1" applyAlignment="1" applyProtection="1">
      <alignment horizontal="right"/>
      <protection locked="0"/>
    </xf>
    <xf numFmtId="0" fontId="19" fillId="0" borderId="0" xfId="1" applyFont="1" applyProtection="1">
      <protection locked="0"/>
    </xf>
    <xf numFmtId="0" fontId="17" fillId="0" borderId="0" xfId="1" applyFont="1" applyAlignment="1" applyProtection="1">
      <alignment vertical="center"/>
      <protection locked="0"/>
    </xf>
    <xf numFmtId="0" fontId="19" fillId="0" borderId="0" xfId="1" applyFont="1" applyAlignment="1" applyProtection="1">
      <alignment horizontal="right" vertical="center"/>
      <protection locked="0"/>
    </xf>
    <xf numFmtId="0" fontId="8" fillId="0" borderId="32" xfId="1" applyFont="1" applyBorder="1" applyAlignment="1" applyProtection="1">
      <alignment horizontal="center" vertical="center" wrapText="1"/>
      <protection locked="0"/>
    </xf>
    <xf numFmtId="0" fontId="8" fillId="0" borderId="33" xfId="1" applyFont="1" applyBorder="1" applyAlignment="1" applyProtection="1">
      <alignment horizontal="center" vertical="center" wrapText="1"/>
      <protection locked="0"/>
    </xf>
    <xf numFmtId="16" fontId="0" fillId="0" borderId="19" xfId="0" applyNumberFormat="1" applyBorder="1" applyAlignment="1" applyProtection="1">
      <alignment horizont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8" fillId="0" borderId="0" xfId="1" applyFont="1" applyAlignment="1">
      <alignment vertical="center"/>
    </xf>
    <xf numFmtId="0" fontId="14" fillId="0" borderId="0" xfId="0" applyFont="1"/>
    <xf numFmtId="0" fontId="14" fillId="0" borderId="19" xfId="0" applyFont="1" applyBorder="1" applyAlignment="1" applyProtection="1">
      <alignment horizontal="center"/>
      <protection locked="0"/>
    </xf>
    <xf numFmtId="0" fontId="0" fillId="0" borderId="36" xfId="0" applyBorder="1" applyProtection="1">
      <protection locked="0"/>
    </xf>
    <xf numFmtId="0" fontId="0" fillId="0" borderId="37" xfId="0" applyBorder="1" applyProtection="1">
      <protection locked="0"/>
    </xf>
    <xf numFmtId="0" fontId="16" fillId="0" borderId="37" xfId="1" applyFont="1" applyBorder="1" applyAlignment="1" applyProtection="1">
      <alignment vertical="center" wrapText="1"/>
      <protection locked="0"/>
    </xf>
    <xf numFmtId="0" fontId="0" fillId="0" borderId="40" xfId="0" applyBorder="1" applyProtection="1">
      <protection locked="0"/>
    </xf>
    <xf numFmtId="0" fontId="0" fillId="0" borderId="41" xfId="0" applyBorder="1" applyProtection="1">
      <protection locked="0"/>
    </xf>
    <xf numFmtId="0" fontId="0" fillId="0" borderId="42" xfId="0" applyBorder="1" applyProtection="1">
      <protection locked="0"/>
    </xf>
    <xf numFmtId="0" fontId="10" fillId="0" borderId="34" xfId="1" applyFont="1" applyBorder="1" applyAlignment="1">
      <alignment vertical="center"/>
    </xf>
    <xf numFmtId="0" fontId="8" fillId="0" borderId="35" xfId="1" applyFont="1" applyBorder="1" applyAlignment="1">
      <alignment vertical="center"/>
    </xf>
    <xf numFmtId="0" fontId="10" fillId="0" borderId="36" xfId="1" applyFont="1" applyBorder="1" applyAlignment="1">
      <alignment vertical="center"/>
    </xf>
    <xf numFmtId="0" fontId="10" fillId="0" borderId="37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10" fillId="0" borderId="38" xfId="1" applyFont="1" applyBorder="1" applyAlignment="1">
      <alignment vertical="center"/>
    </xf>
    <xf numFmtId="0" fontId="8" fillId="0" borderId="0" xfId="1" applyFont="1" applyAlignment="1">
      <alignment horizontal="left" vertical="center" indent="1"/>
    </xf>
    <xf numFmtId="0" fontId="8" fillId="0" borderId="0" xfId="1" applyFont="1" applyAlignment="1">
      <alignment horizontal="right" vertical="center" indent="1"/>
    </xf>
    <xf numFmtId="0" fontId="8" fillId="0" borderId="0" xfId="1" applyFont="1" applyAlignment="1">
      <alignment horizontal="right" vertical="center"/>
    </xf>
    <xf numFmtId="0" fontId="10" fillId="0" borderId="0" xfId="1" applyFont="1" applyAlignment="1">
      <alignment vertical="center"/>
    </xf>
    <xf numFmtId="0" fontId="8" fillId="0" borderId="37" xfId="1" applyFont="1" applyBorder="1" applyAlignment="1">
      <alignment horizontal="right" vertical="center"/>
    </xf>
    <xf numFmtId="0" fontId="8" fillId="0" borderId="0" xfId="1" applyFont="1" applyAlignment="1">
      <alignment horizontal="right" vertical="center" wrapText="1" indent="1"/>
    </xf>
    <xf numFmtId="0" fontId="8" fillId="0" borderId="11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6" fillId="0" borderId="39" xfId="1" applyFont="1" applyBorder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8" fillId="0" borderId="37" xfId="1" applyFont="1" applyBorder="1" applyAlignment="1">
      <alignment horizontal="center" vertical="center" wrapText="1"/>
    </xf>
    <xf numFmtId="0" fontId="8" fillId="9" borderId="7" xfId="1" applyFont="1" applyFill="1" applyBorder="1" applyAlignment="1">
      <alignment horizontal="center" vertical="center" wrapText="1"/>
    </xf>
    <xf numFmtId="0" fontId="8" fillId="7" borderId="7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right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7" xfId="1" applyFont="1" applyBorder="1" applyAlignment="1">
      <alignment vertical="center" wrapText="1"/>
    </xf>
    <xf numFmtId="0" fontId="8" fillId="0" borderId="16" xfId="1" applyFont="1" applyBorder="1" applyAlignment="1">
      <alignment horizontal="right" vertical="center" wrapText="1"/>
    </xf>
    <xf numFmtId="0" fontId="8" fillId="0" borderId="27" xfId="1" applyFont="1" applyBorder="1" applyAlignment="1">
      <alignment horizontal="right"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right" vertical="center" wrapText="1"/>
    </xf>
    <xf numFmtId="0" fontId="0" fillId="0" borderId="36" xfId="0" applyBorder="1"/>
    <xf numFmtId="0" fontId="0" fillId="0" borderId="37" xfId="0" applyBorder="1"/>
    <xf numFmtId="0" fontId="8" fillId="0" borderId="31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right" vertical="center" wrapText="1"/>
    </xf>
    <xf numFmtId="0" fontId="8" fillId="0" borderId="6" xfId="1" applyFont="1" applyBorder="1" applyAlignment="1" applyProtection="1">
      <alignment vertical="center"/>
      <protection locked="0"/>
    </xf>
    <xf numFmtId="0" fontId="0" fillId="7" borderId="19" xfId="0" applyFill="1" applyBorder="1" applyAlignment="1">
      <alignment horizontal="center"/>
    </xf>
    <xf numFmtId="0" fontId="8" fillId="11" borderId="7" xfId="1" applyFont="1" applyFill="1" applyBorder="1" applyAlignment="1">
      <alignment horizontal="center" vertical="center" wrapText="1"/>
    </xf>
    <xf numFmtId="0" fontId="8" fillId="11" borderId="7" xfId="1" applyFont="1" applyFill="1" applyBorder="1" applyAlignment="1">
      <alignment horizontal="right" vertical="center" wrapText="1"/>
    </xf>
    <xf numFmtId="0" fontId="8" fillId="11" borderId="27" xfId="1" applyFont="1" applyFill="1" applyBorder="1" applyAlignment="1">
      <alignment horizontal="right" vertical="center" wrapText="1"/>
    </xf>
    <xf numFmtId="0" fontId="8" fillId="11" borderId="43" xfId="1" applyFont="1" applyFill="1" applyBorder="1" applyAlignment="1">
      <alignment horizontal="right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7" borderId="27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15" fillId="10" borderId="7" xfId="1" applyFont="1" applyFill="1" applyBorder="1" applyAlignment="1">
      <alignment horizontal="center" vertical="center" wrapText="1"/>
    </xf>
    <xf numFmtId="0" fontId="23" fillId="0" borderId="0" xfId="1" applyFont="1" applyAlignment="1">
      <alignment vertical="center" wrapText="1"/>
    </xf>
    <xf numFmtId="0" fontId="8" fillId="0" borderId="37" xfId="1" applyFont="1" applyBorder="1" applyAlignment="1">
      <alignment vertical="center" wrapText="1"/>
    </xf>
    <xf numFmtId="0" fontId="23" fillId="0" borderId="7" xfId="1" applyFont="1" applyBorder="1" applyAlignment="1">
      <alignment horizontal="center" vertical="center" wrapText="1"/>
    </xf>
    <xf numFmtId="0" fontId="25" fillId="13" borderId="27" xfId="0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0" fontId="26" fillId="12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vertical="center"/>
    </xf>
    <xf numFmtId="0" fontId="26" fillId="0" borderId="27" xfId="0" applyFont="1" applyBorder="1" applyAlignment="1">
      <alignment horizontal="left" vertical="center"/>
    </xf>
    <xf numFmtId="0" fontId="27" fillId="0" borderId="27" xfId="0" applyFont="1" applyBorder="1" applyAlignment="1">
      <alignment vertical="center"/>
    </xf>
    <xf numFmtId="0" fontId="26" fillId="0" borderId="27" xfId="0" applyFont="1" applyBorder="1" applyAlignment="1">
      <alignment horizontal="left" vertical="center" wrapText="1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8" fillId="0" borderId="47" xfId="1" applyFont="1" applyBorder="1" applyAlignment="1">
      <alignment vertical="center"/>
    </xf>
    <xf numFmtId="0" fontId="8" fillId="0" borderId="50" xfId="1" applyFont="1" applyBorder="1" applyAlignment="1" applyProtection="1">
      <alignment horizontal="center" vertical="center" wrapText="1"/>
      <protection locked="0"/>
    </xf>
    <xf numFmtId="0" fontId="9" fillId="0" borderId="0" xfId="1" applyFont="1" applyAlignment="1">
      <alignment vertical="center"/>
    </xf>
    <xf numFmtId="0" fontId="8" fillId="0" borderId="50" xfId="1" applyFont="1" applyBorder="1" applyAlignment="1" applyProtection="1">
      <alignment horizontal="center" vertical="center"/>
      <protection locked="0"/>
    </xf>
    <xf numFmtId="0" fontId="13" fillId="0" borderId="0" xfId="1" applyFont="1" applyAlignment="1">
      <alignment vertical="center" wrapText="1"/>
    </xf>
    <xf numFmtId="0" fontId="29" fillId="0" borderId="48" xfId="1" applyFont="1" applyBorder="1" applyAlignment="1" applyProtection="1">
      <alignment horizontal="center" vertical="center" wrapText="1"/>
      <protection locked="0"/>
    </xf>
    <xf numFmtId="0" fontId="17" fillId="0" borderId="49" xfId="1" applyFont="1" applyBorder="1" applyAlignment="1" applyProtection="1">
      <alignment horizontal="center" vertical="center" wrapText="1"/>
      <protection locked="0"/>
    </xf>
    <xf numFmtId="0" fontId="29" fillId="0" borderId="51" xfId="1" applyFont="1" applyBorder="1" applyAlignment="1" applyProtection="1">
      <alignment horizontal="center" vertical="center" wrapText="1"/>
      <protection locked="0"/>
    </xf>
    <xf numFmtId="0" fontId="17" fillId="0" borderId="52" xfId="1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6" fillId="6" borderId="12" xfId="1" applyFont="1" applyFill="1" applyBorder="1" applyAlignment="1" applyProtection="1">
      <alignment horizontal="center" vertical="center" wrapText="1"/>
      <protection locked="0"/>
    </xf>
    <xf numFmtId="0" fontId="16" fillId="6" borderId="13" xfId="1" applyFont="1" applyFill="1" applyBorder="1" applyAlignment="1" applyProtection="1">
      <alignment horizontal="center" vertical="center" wrapText="1"/>
      <protection locked="0"/>
    </xf>
    <xf numFmtId="0" fontId="16" fillId="6" borderId="14" xfId="1" applyFont="1" applyFill="1" applyBorder="1" applyAlignment="1" applyProtection="1">
      <alignment horizontal="center" vertical="center" wrapText="1"/>
      <protection locked="0"/>
    </xf>
    <xf numFmtId="0" fontId="17" fillId="6" borderId="20" xfId="1" applyFont="1" applyFill="1" applyBorder="1" applyAlignment="1" applyProtection="1">
      <alignment horizontal="left" vertical="center" wrapText="1"/>
      <protection locked="0"/>
    </xf>
    <xf numFmtId="0" fontId="17" fillId="6" borderId="21" xfId="1" applyFont="1" applyFill="1" applyBorder="1" applyAlignment="1" applyProtection="1">
      <alignment horizontal="left" vertical="center" wrapText="1"/>
      <protection locked="0"/>
    </xf>
    <xf numFmtId="0" fontId="17" fillId="6" borderId="22" xfId="1" applyFont="1" applyFill="1" applyBorder="1" applyAlignment="1" applyProtection="1">
      <alignment horizontal="left" vertical="center" wrapText="1"/>
      <protection locked="0"/>
    </xf>
    <xf numFmtId="0" fontId="13" fillId="0" borderId="0" xfId="1" applyFont="1" applyAlignment="1">
      <alignment horizontal="center" vertical="center" wrapText="1"/>
    </xf>
    <xf numFmtId="0" fontId="13" fillId="0" borderId="53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54" xfId="1" applyFont="1" applyBorder="1" applyAlignment="1">
      <alignment horizontal="center" vertical="center" wrapText="1"/>
    </xf>
    <xf numFmtId="0" fontId="17" fillId="6" borderId="25" xfId="1" applyFont="1" applyFill="1" applyBorder="1" applyAlignment="1" applyProtection="1">
      <alignment horizontal="left" vertical="center" wrapText="1"/>
      <protection locked="0"/>
    </xf>
    <xf numFmtId="0" fontId="17" fillId="6" borderId="13" xfId="1" applyFont="1" applyFill="1" applyBorder="1" applyAlignment="1" applyProtection="1">
      <alignment horizontal="left" vertical="center" wrapText="1"/>
      <protection locked="0"/>
    </xf>
    <xf numFmtId="0" fontId="17" fillId="6" borderId="26" xfId="1" applyFont="1" applyFill="1" applyBorder="1" applyAlignment="1" applyProtection="1">
      <alignment horizontal="left" vertical="center" wrapText="1"/>
      <protection locked="0"/>
    </xf>
    <xf numFmtId="0" fontId="16" fillId="6" borderId="12" xfId="1" applyFont="1" applyFill="1" applyBorder="1" applyAlignment="1">
      <alignment horizontal="center" vertical="center" wrapText="1"/>
    </xf>
    <xf numFmtId="0" fontId="16" fillId="6" borderId="13" xfId="1" applyFont="1" applyFill="1" applyBorder="1" applyAlignment="1">
      <alignment horizontal="center" vertical="center" wrapText="1"/>
    </xf>
    <xf numFmtId="14" fontId="11" fillId="0" borderId="6" xfId="1" applyNumberFormat="1" applyFont="1" applyBorder="1" applyAlignment="1" applyProtection="1">
      <alignment horizontal="center" vertical="center"/>
      <protection locked="0"/>
    </xf>
    <xf numFmtId="0" fontId="11" fillId="0" borderId="6" xfId="1" applyFont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1" fillId="0" borderId="5" xfId="1" applyFont="1" applyBorder="1" applyAlignment="1" applyProtection="1">
      <alignment horizontal="center" vertical="center"/>
      <protection locked="0"/>
    </xf>
    <xf numFmtId="0" fontId="23" fillId="0" borderId="0" xfId="1" applyFont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9" xfId="0" applyFont="1" applyBorder="1" applyAlignment="1">
      <alignment vertical="center"/>
    </xf>
    <xf numFmtId="0" fontId="26" fillId="0" borderId="30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6" fillId="0" borderId="29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9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8" fillId="0" borderId="7" xfId="1" applyFont="1" applyBorder="1" applyAlignment="1">
      <alignment horizontal="center" vertical="center" wrapText="1"/>
    </xf>
    <xf numFmtId="0" fontId="8" fillId="11" borderId="7" xfId="1" applyFont="1" applyFill="1" applyBorder="1" applyAlignment="1">
      <alignment horizontal="center" vertical="center" wrapText="1"/>
    </xf>
    <xf numFmtId="0" fontId="15" fillId="10" borderId="7" xfId="1" applyFont="1" applyFill="1" applyBorder="1" applyAlignment="1">
      <alignment horizontal="center" vertical="center" wrapText="1"/>
    </xf>
    <xf numFmtId="0" fontId="8" fillId="9" borderId="7" xfId="1" applyFont="1" applyFill="1" applyBorder="1" applyAlignment="1">
      <alignment horizontal="center" vertical="center" wrapText="1"/>
    </xf>
    <xf numFmtId="0" fontId="8" fillId="7" borderId="7" xfId="1" applyFont="1" applyFill="1" applyBorder="1" applyAlignment="1">
      <alignment horizontal="center" vertical="center" wrapText="1"/>
    </xf>
    <xf numFmtId="0" fontId="8" fillId="0" borderId="7" xfId="1" applyFont="1" applyBorder="1" applyAlignment="1" applyProtection="1">
      <alignment horizontal="center" vertical="center" wrapText="1"/>
      <protection locked="0"/>
    </xf>
    <xf numFmtId="0" fontId="8" fillId="0" borderId="12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horizontal="center" vertical="center" wrapText="1"/>
    </xf>
    <xf numFmtId="0" fontId="8" fillId="11" borderId="28" xfId="1" applyFont="1" applyFill="1" applyBorder="1" applyAlignment="1">
      <alignment horizontal="center" vertical="center" wrapText="1"/>
    </xf>
    <xf numFmtId="0" fontId="8" fillId="11" borderId="16" xfId="1" applyFont="1" applyFill="1" applyBorder="1" applyAlignment="1">
      <alignment horizontal="center" vertical="center" wrapText="1"/>
    </xf>
    <xf numFmtId="0" fontId="8" fillId="11" borderId="15" xfId="1" applyFont="1" applyFill="1" applyBorder="1" applyAlignment="1">
      <alignment horizontal="center" vertical="center" wrapText="1"/>
    </xf>
    <xf numFmtId="0" fontId="8" fillId="11" borderId="17" xfId="1" applyFont="1" applyFill="1" applyBorder="1" applyAlignment="1">
      <alignment horizontal="center" vertical="center" wrapText="1"/>
    </xf>
    <xf numFmtId="0" fontId="15" fillId="10" borderId="12" xfId="1" applyFont="1" applyFill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15" fillId="10" borderId="27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7" borderId="27" xfId="1" applyFont="1" applyFill="1" applyBorder="1" applyAlignment="1">
      <alignment horizontal="center" vertical="center" wrapText="1"/>
    </xf>
    <xf numFmtId="0" fontId="8" fillId="0" borderId="27" xfId="1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3" xfId="0" applyFont="1" applyBorder="1"/>
    <xf numFmtId="0" fontId="3" fillId="3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2E2CCC46-91C8-4317-BC58-8792073C7EA8}"/>
  </cellStyles>
  <dxfs count="7"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theme="5" tint="-0.2499465926084170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375A-63F1-4426-9139-6B2825939162}">
  <sheetPr>
    <pageSetUpPr fitToPage="1"/>
  </sheetPr>
  <dimension ref="B1:S52"/>
  <sheetViews>
    <sheetView showGridLines="0" tabSelected="1" view="pageBreakPreview" topLeftCell="D10" zoomScale="91" zoomScaleNormal="100" zoomScaleSheetLayoutView="91" workbookViewId="0">
      <selection activeCell="D50" sqref="D50"/>
    </sheetView>
  </sheetViews>
  <sheetFormatPr baseColWidth="10" defaultColWidth="11.42578125" defaultRowHeight="15" x14ac:dyDescent="0.25"/>
  <cols>
    <col min="1" max="1" width="15.5703125" style="22" customWidth="1"/>
    <col min="2" max="2" width="3.85546875" style="22" customWidth="1"/>
    <col min="3" max="3" width="30.85546875" style="22" customWidth="1"/>
    <col min="4" max="4" width="33.5703125" style="22" customWidth="1"/>
    <col min="5" max="5" width="27.42578125" style="22" customWidth="1"/>
    <col min="6" max="6" width="30.5703125" style="22" customWidth="1"/>
    <col min="7" max="7" width="36.7109375" style="22" customWidth="1"/>
    <col min="8" max="8" width="65.7109375" style="22" customWidth="1"/>
    <col min="9" max="9" width="44.140625" style="22" customWidth="1"/>
    <col min="10" max="10" width="47.28515625" style="22" customWidth="1"/>
    <col min="11" max="11" width="30.5703125" style="22" customWidth="1"/>
    <col min="12" max="12" width="3.85546875" style="22" customWidth="1"/>
    <col min="13" max="13" width="11.42578125" style="22"/>
    <col min="14" max="14" width="31.85546875" style="22" customWidth="1"/>
    <col min="15" max="16384" width="11.42578125" style="22"/>
  </cols>
  <sheetData>
    <row r="1" spans="2:19" s="10" customFormat="1" ht="11.25" x14ac:dyDescent="0.25">
      <c r="B1" s="18"/>
      <c r="C1" s="13"/>
      <c r="D1" s="13"/>
      <c r="E1" s="13"/>
      <c r="F1" s="13"/>
      <c r="G1" s="13"/>
      <c r="H1" s="13"/>
      <c r="I1" s="13"/>
      <c r="J1" s="13"/>
      <c r="K1" s="13"/>
      <c r="L1" s="19"/>
    </row>
    <row r="2" spans="2:19" customFormat="1" x14ac:dyDescent="0.25">
      <c r="C2" s="108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10"/>
    </row>
    <row r="3" spans="2:19" s="62" customFormat="1" ht="36.6" customHeight="1" x14ac:dyDescent="0.25">
      <c r="C3" s="111"/>
      <c r="D3" s="44"/>
      <c r="E3" s="115"/>
      <c r="F3" s="115"/>
      <c r="G3" s="115"/>
      <c r="H3" s="115"/>
      <c r="I3" s="115"/>
      <c r="J3" s="115"/>
      <c r="K3" s="115"/>
      <c r="L3" s="115"/>
      <c r="S3" s="113"/>
    </row>
    <row r="4" spans="2:19" s="62" customFormat="1" ht="31.5" customHeight="1" thickBot="1" x14ac:dyDescent="0.3">
      <c r="C4" s="111"/>
      <c r="D4" s="44"/>
      <c r="E4" s="115"/>
      <c r="F4" s="115"/>
      <c r="G4" s="115"/>
      <c r="H4" s="115"/>
      <c r="I4" s="115"/>
      <c r="J4" s="115"/>
      <c r="K4" s="115"/>
      <c r="L4" s="115"/>
      <c r="S4" s="113"/>
    </row>
    <row r="5" spans="2:19" s="10" customFormat="1" ht="35.1" customHeight="1" x14ac:dyDescent="0.25">
      <c r="B5" s="53"/>
      <c r="C5" s="54"/>
      <c r="D5" s="129" t="s">
        <v>133</v>
      </c>
      <c r="E5" s="129"/>
      <c r="F5" s="129"/>
      <c r="G5" s="129"/>
      <c r="H5" s="129"/>
      <c r="I5" s="130"/>
      <c r="J5" s="116" t="s">
        <v>410</v>
      </c>
      <c r="K5" s="117" t="s">
        <v>407</v>
      </c>
      <c r="L5" s="112"/>
      <c r="O5" s="20"/>
    </row>
    <row r="6" spans="2:19" s="10" customFormat="1" ht="28.5" customHeight="1" x14ac:dyDescent="0.25">
      <c r="B6" s="55"/>
      <c r="C6" s="44"/>
      <c r="D6" s="131"/>
      <c r="E6" s="131"/>
      <c r="F6" s="131"/>
      <c r="G6" s="131"/>
      <c r="H6" s="131"/>
      <c r="I6" s="132"/>
      <c r="J6" s="118" t="s">
        <v>409</v>
      </c>
      <c r="K6" s="119" t="s">
        <v>408</v>
      </c>
      <c r="L6" s="114"/>
      <c r="O6" s="20"/>
    </row>
    <row r="7" spans="2:19" s="10" customFormat="1" ht="11.25" x14ac:dyDescent="0.25">
      <c r="B7" s="55"/>
      <c r="C7" s="57"/>
      <c r="D7" s="57"/>
      <c r="E7" s="57"/>
      <c r="F7" s="57"/>
      <c r="G7" s="57"/>
      <c r="H7" s="57"/>
      <c r="I7" s="57"/>
      <c r="J7" s="57"/>
      <c r="K7" s="57"/>
      <c r="L7" s="58"/>
    </row>
    <row r="8" spans="2:19" s="10" customFormat="1" ht="18.75" customHeight="1" x14ac:dyDescent="0.25">
      <c r="B8" s="55"/>
      <c r="C8" s="59"/>
      <c r="D8" s="60" t="s">
        <v>39</v>
      </c>
      <c r="E8" s="138"/>
      <c r="F8" s="138"/>
      <c r="G8" s="61"/>
      <c r="H8" s="60" t="s">
        <v>30</v>
      </c>
      <c r="I8" s="138"/>
      <c r="J8" s="139"/>
      <c r="K8" s="62"/>
      <c r="L8" s="56"/>
    </row>
    <row r="9" spans="2:19" s="10" customFormat="1" ht="18.75" customHeight="1" x14ac:dyDescent="0.25">
      <c r="B9" s="55"/>
      <c r="C9" s="59"/>
      <c r="D9" s="60" t="s">
        <v>28</v>
      </c>
      <c r="E9" s="140"/>
      <c r="F9" s="140"/>
      <c r="G9" s="61"/>
      <c r="H9" s="60" t="s">
        <v>29</v>
      </c>
      <c r="I9" s="141"/>
      <c r="J9" s="141"/>
      <c r="K9" s="61"/>
      <c r="L9" s="63"/>
    </row>
    <row r="10" spans="2:19" s="10" customFormat="1" ht="37.5" customHeight="1" x14ac:dyDescent="0.25">
      <c r="B10" s="55"/>
      <c r="C10" s="59"/>
      <c r="D10" s="64" t="s">
        <v>37</v>
      </c>
      <c r="E10" s="140"/>
      <c r="F10" s="140"/>
      <c r="G10" s="61"/>
      <c r="H10" s="64" t="s">
        <v>38</v>
      </c>
      <c r="I10" s="141"/>
      <c r="J10" s="141"/>
      <c r="K10" s="61"/>
      <c r="L10" s="63"/>
    </row>
    <row r="11" spans="2:19" s="10" customFormat="1" ht="18.75" customHeight="1" x14ac:dyDescent="0.25">
      <c r="B11" s="55"/>
      <c r="C11" s="59"/>
      <c r="D11" s="60" t="s">
        <v>27</v>
      </c>
      <c r="E11" s="140"/>
      <c r="F11" s="140"/>
      <c r="G11" s="61"/>
      <c r="H11" s="60" t="s">
        <v>40</v>
      </c>
      <c r="I11" s="141"/>
      <c r="J11" s="141"/>
      <c r="K11" s="62"/>
      <c r="L11" s="56"/>
    </row>
    <row r="12" spans="2:19" s="10" customFormat="1" ht="18.75" customHeight="1" x14ac:dyDescent="0.25">
      <c r="B12" s="55"/>
      <c r="C12" s="59"/>
      <c r="D12" s="60" t="s">
        <v>145</v>
      </c>
      <c r="E12" s="140"/>
      <c r="F12" s="140"/>
      <c r="G12" s="62"/>
      <c r="H12" s="62"/>
      <c r="I12" s="62"/>
      <c r="J12" s="62"/>
      <c r="K12" s="62"/>
      <c r="L12" s="56"/>
    </row>
    <row r="13" spans="2:19" s="10" customFormat="1" ht="11.25" x14ac:dyDescent="0.25">
      <c r="B13" s="55"/>
      <c r="C13" s="65"/>
      <c r="D13" s="66"/>
      <c r="E13" s="66"/>
      <c r="F13" s="66"/>
      <c r="G13" s="66"/>
      <c r="H13" s="66"/>
      <c r="I13" s="66"/>
      <c r="J13" s="66"/>
      <c r="K13" s="66"/>
      <c r="L13" s="56"/>
    </row>
    <row r="14" spans="2:19" s="10" customFormat="1" ht="18" customHeight="1" x14ac:dyDescent="0.25">
      <c r="B14" s="55"/>
      <c r="C14" s="136" t="s">
        <v>34</v>
      </c>
      <c r="D14" s="137"/>
      <c r="E14" s="137"/>
      <c r="F14" s="137"/>
      <c r="G14" s="137"/>
      <c r="H14" s="137"/>
      <c r="I14" s="137"/>
      <c r="J14" s="137"/>
      <c r="K14" s="137"/>
      <c r="L14" s="67"/>
    </row>
    <row r="15" spans="2:19" s="10" customFormat="1" ht="6.95" customHeight="1" x14ac:dyDescent="0.25">
      <c r="B15" s="55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2:19" s="10" customFormat="1" ht="23.25" customHeight="1" x14ac:dyDescent="0.25">
      <c r="B16" s="55"/>
      <c r="C16" s="142" t="s">
        <v>144</v>
      </c>
      <c r="D16" s="142"/>
      <c r="E16" s="142"/>
      <c r="F16" s="142"/>
      <c r="G16" s="142"/>
      <c r="H16" s="142"/>
      <c r="I16" s="142"/>
      <c r="J16" s="142"/>
      <c r="K16" s="142"/>
      <c r="L16" s="69"/>
    </row>
    <row r="17" spans="2:12" s="10" customFormat="1" ht="44.25" customHeight="1" x14ac:dyDescent="0.25">
      <c r="B17" s="55"/>
      <c r="C17" s="96"/>
      <c r="D17" s="95" t="s">
        <v>165</v>
      </c>
      <c r="E17" s="95" t="s">
        <v>162</v>
      </c>
      <c r="F17" s="95" t="s">
        <v>163</v>
      </c>
      <c r="G17" s="95" t="s">
        <v>167</v>
      </c>
      <c r="H17" s="95" t="s">
        <v>406</v>
      </c>
      <c r="I17" s="95" t="s">
        <v>166</v>
      </c>
      <c r="J17" s="95" t="s">
        <v>164</v>
      </c>
      <c r="K17" s="96"/>
      <c r="L17" s="97"/>
    </row>
    <row r="18" spans="2:12" s="10" customFormat="1" ht="48" customHeight="1" x14ac:dyDescent="0.25">
      <c r="B18" s="55"/>
      <c r="C18" s="94"/>
      <c r="D18" s="98"/>
      <c r="E18" s="98"/>
      <c r="F18" s="98"/>
      <c r="G18" s="98"/>
      <c r="H18" s="98"/>
      <c r="I18" s="107"/>
      <c r="J18" s="98"/>
      <c r="K18" s="94"/>
      <c r="L18" s="69"/>
    </row>
    <row r="19" spans="2:12" s="10" customFormat="1" ht="48" customHeight="1" x14ac:dyDescent="0.25">
      <c r="B19" s="55"/>
      <c r="C19" s="94"/>
      <c r="D19" s="98"/>
      <c r="E19" s="98"/>
      <c r="F19" s="98"/>
      <c r="G19" s="98"/>
      <c r="H19" s="98"/>
      <c r="I19" s="107"/>
      <c r="J19" s="98"/>
      <c r="K19" s="94"/>
      <c r="L19" s="69"/>
    </row>
    <row r="20" spans="2:12" s="10" customFormat="1" ht="48" customHeight="1" x14ac:dyDescent="0.25">
      <c r="B20" s="55"/>
      <c r="C20" s="94"/>
      <c r="D20" s="98"/>
      <c r="E20" s="98"/>
      <c r="F20" s="98"/>
      <c r="G20" s="98"/>
      <c r="H20" s="98"/>
      <c r="I20" s="107"/>
      <c r="J20" s="98"/>
      <c r="K20" s="94"/>
      <c r="L20" s="69"/>
    </row>
    <row r="21" spans="2:12" s="10" customFormat="1" ht="48" customHeight="1" x14ac:dyDescent="0.25">
      <c r="B21" s="55"/>
      <c r="C21" s="94"/>
      <c r="D21" s="98"/>
      <c r="E21" s="98"/>
      <c r="F21" s="98"/>
      <c r="G21" s="98"/>
      <c r="H21" s="98"/>
      <c r="I21" s="107"/>
      <c r="J21" s="98"/>
      <c r="K21" s="94"/>
      <c r="L21" s="69"/>
    </row>
    <row r="22" spans="2:12" s="10" customFormat="1" ht="48" customHeight="1" x14ac:dyDescent="0.25">
      <c r="B22" s="55"/>
      <c r="C22" s="94"/>
      <c r="D22" s="98"/>
      <c r="E22" s="98"/>
      <c r="F22" s="98"/>
      <c r="G22" s="98"/>
      <c r="H22" s="98"/>
      <c r="I22" s="107"/>
      <c r="J22" s="98"/>
      <c r="K22" s="94"/>
      <c r="L22" s="69"/>
    </row>
    <row r="23" spans="2:12" s="10" customFormat="1" ht="48" customHeight="1" x14ac:dyDescent="0.25">
      <c r="B23" s="55"/>
      <c r="C23" s="94"/>
      <c r="D23" s="98"/>
      <c r="E23" s="98"/>
      <c r="F23" s="98"/>
      <c r="G23" s="98"/>
      <c r="H23" s="98"/>
      <c r="I23" s="107"/>
      <c r="J23" s="98"/>
      <c r="K23" s="94"/>
      <c r="L23" s="69"/>
    </row>
    <row r="24" spans="2:12" s="10" customFormat="1" ht="48" customHeight="1" x14ac:dyDescent="0.25">
      <c r="B24" s="55"/>
      <c r="C24" s="94"/>
      <c r="D24" s="98"/>
      <c r="E24" s="98"/>
      <c r="F24" s="98"/>
      <c r="G24" s="98"/>
      <c r="H24" s="98"/>
      <c r="I24" s="107"/>
      <c r="J24" s="98"/>
      <c r="K24" s="94"/>
      <c r="L24" s="69"/>
    </row>
    <row r="25" spans="2:12" s="10" customFormat="1" ht="48" customHeight="1" x14ac:dyDescent="0.25">
      <c r="B25" s="55"/>
      <c r="C25" s="94"/>
      <c r="D25" s="98"/>
      <c r="E25" s="98"/>
      <c r="F25" s="98"/>
      <c r="G25" s="98"/>
      <c r="H25" s="98"/>
      <c r="I25" s="107"/>
      <c r="J25" s="98"/>
      <c r="K25" s="94"/>
      <c r="L25" s="69"/>
    </row>
    <row r="26" spans="2:12" s="10" customFormat="1" ht="48" customHeight="1" x14ac:dyDescent="0.25">
      <c r="B26" s="55"/>
      <c r="C26" s="94"/>
      <c r="D26" s="98"/>
      <c r="E26" s="98"/>
      <c r="F26" s="98"/>
      <c r="G26" s="98"/>
      <c r="H26" s="98"/>
      <c r="I26" s="107"/>
      <c r="J26" s="98"/>
      <c r="K26" s="94"/>
      <c r="L26" s="69"/>
    </row>
    <row r="27" spans="2:12" s="10" customFormat="1" ht="48" customHeight="1" x14ac:dyDescent="0.25">
      <c r="B27" s="55"/>
      <c r="C27" s="94"/>
      <c r="D27" s="98"/>
      <c r="E27" s="98"/>
      <c r="F27" s="98"/>
      <c r="G27" s="98"/>
      <c r="H27" s="98"/>
      <c r="I27" s="107"/>
      <c r="J27" s="98"/>
      <c r="K27" s="94"/>
      <c r="L27" s="69"/>
    </row>
    <row r="28" spans="2:12" x14ac:dyDescent="0.25">
      <c r="B28" s="81"/>
      <c r="C28"/>
      <c r="D28"/>
      <c r="E28"/>
      <c r="F28"/>
      <c r="G28"/>
      <c r="H28"/>
      <c r="I28"/>
      <c r="J28"/>
      <c r="K28"/>
      <c r="L28" s="82"/>
    </row>
    <row r="29" spans="2:12" x14ac:dyDescent="0.25">
      <c r="B29" s="81"/>
      <c r="C29"/>
      <c r="D29"/>
      <c r="E29"/>
      <c r="F29"/>
      <c r="G29"/>
      <c r="H29"/>
      <c r="I29"/>
      <c r="J29"/>
      <c r="K29"/>
      <c r="L29" s="82"/>
    </row>
    <row r="30" spans="2:12" ht="14.45" customHeight="1" x14ac:dyDescent="0.25">
      <c r="B30" s="47"/>
      <c r="C30" s="123" t="s">
        <v>111</v>
      </c>
      <c r="D30" s="124"/>
      <c r="E30" s="124"/>
      <c r="F30" s="124"/>
      <c r="G30" s="124"/>
      <c r="H30" s="124"/>
      <c r="I30" s="124"/>
      <c r="J30" s="124"/>
      <c r="K30" s="125"/>
      <c r="L30" s="48"/>
    </row>
    <row r="31" spans="2:12" x14ac:dyDescent="0.25">
      <c r="B31" s="47"/>
      <c r="L31" s="48"/>
    </row>
    <row r="32" spans="2:12" ht="22.5" x14ac:dyDescent="0.25">
      <c r="B32" s="47"/>
      <c r="C32" s="28" t="s">
        <v>110</v>
      </c>
      <c r="D32" s="85"/>
      <c r="E32" s="43"/>
      <c r="F32" s="43"/>
      <c r="G32" s="44"/>
      <c r="H32" s="44"/>
      <c r="I32" s="44"/>
      <c r="J32" s="44"/>
      <c r="L32" s="48"/>
    </row>
    <row r="33" spans="2:12" x14ac:dyDescent="0.25">
      <c r="B33" s="47"/>
      <c r="L33" s="48"/>
    </row>
    <row r="34" spans="2:12" ht="18" customHeight="1" x14ac:dyDescent="0.25">
      <c r="B34" s="47"/>
      <c r="C34" s="123" t="s">
        <v>21</v>
      </c>
      <c r="D34" s="124"/>
      <c r="E34" s="124"/>
      <c r="F34" s="124"/>
      <c r="G34" s="124"/>
      <c r="H34" s="124"/>
      <c r="I34" s="124"/>
      <c r="J34" s="124"/>
      <c r="K34" s="125"/>
      <c r="L34" s="49"/>
    </row>
    <row r="35" spans="2:12" ht="57.75" customHeight="1" x14ac:dyDescent="0.25">
      <c r="B35" s="47"/>
      <c r="C35" s="120"/>
      <c r="D35" s="121"/>
      <c r="E35" s="121"/>
      <c r="F35" s="121"/>
      <c r="G35" s="121"/>
      <c r="H35" s="121"/>
      <c r="I35" s="121"/>
      <c r="J35" s="121"/>
      <c r="K35" s="122"/>
      <c r="L35" s="48"/>
    </row>
    <row r="36" spans="2:12" x14ac:dyDescent="0.25">
      <c r="B36" s="47"/>
      <c r="C36" s="126" t="s">
        <v>142</v>
      </c>
      <c r="D36" s="127"/>
      <c r="E36" s="127"/>
      <c r="F36" s="127"/>
      <c r="G36" s="127"/>
      <c r="H36" s="127"/>
      <c r="I36" s="127"/>
      <c r="J36" s="127"/>
      <c r="K36" s="128"/>
      <c r="L36" s="48"/>
    </row>
    <row r="37" spans="2:12" x14ac:dyDescent="0.25">
      <c r="B37" s="47"/>
      <c r="C37" s="23"/>
      <c r="D37" s="32"/>
      <c r="E37" s="32"/>
      <c r="F37" s="32"/>
      <c r="G37" s="32"/>
      <c r="H37" s="32"/>
      <c r="I37" s="32"/>
      <c r="J37" s="32"/>
      <c r="K37" s="24"/>
      <c r="L37" s="48"/>
    </row>
    <row r="38" spans="2:12" x14ac:dyDescent="0.25">
      <c r="B38" s="47"/>
      <c r="C38" s="25" t="s">
        <v>22</v>
      </c>
      <c r="D38" s="26"/>
      <c r="E38" s="33"/>
      <c r="F38" s="32"/>
      <c r="G38" s="32"/>
      <c r="H38" s="32"/>
      <c r="I38" s="32"/>
      <c r="J38" s="32"/>
      <c r="K38" s="24"/>
      <c r="L38" s="48"/>
    </row>
    <row r="39" spans="2:12" x14ac:dyDescent="0.25">
      <c r="B39" s="47"/>
      <c r="C39" s="27" t="s">
        <v>24</v>
      </c>
      <c r="D39" s="33"/>
      <c r="E39" s="34"/>
      <c r="F39" s="32"/>
      <c r="G39" s="32"/>
      <c r="H39" s="32"/>
      <c r="I39" s="32"/>
      <c r="J39" s="32"/>
      <c r="K39" s="24"/>
      <c r="L39" s="48"/>
    </row>
    <row r="40" spans="2:12" x14ac:dyDescent="0.25">
      <c r="B40" s="47"/>
      <c r="C40" s="27" t="s">
        <v>25</v>
      </c>
      <c r="D40" s="33"/>
      <c r="E40" s="34"/>
      <c r="F40" s="32"/>
      <c r="G40" s="32"/>
      <c r="H40" s="32"/>
      <c r="I40" s="32"/>
      <c r="J40" s="32"/>
      <c r="K40" s="24"/>
      <c r="L40" s="48"/>
    </row>
    <row r="41" spans="2:12" x14ac:dyDescent="0.25">
      <c r="B41" s="47"/>
      <c r="C41" s="27" t="s">
        <v>41</v>
      </c>
      <c r="D41" s="33"/>
      <c r="E41" s="34"/>
      <c r="F41" s="32"/>
      <c r="G41" s="32"/>
      <c r="H41" s="32"/>
      <c r="I41" s="32"/>
      <c r="J41" s="32"/>
      <c r="K41" s="24"/>
      <c r="L41" s="48"/>
    </row>
    <row r="42" spans="2:12" x14ac:dyDescent="0.25">
      <c r="B42" s="47"/>
      <c r="C42" s="27" t="s">
        <v>26</v>
      </c>
      <c r="D42" s="33"/>
      <c r="E42" s="34"/>
      <c r="F42" s="32"/>
      <c r="G42" s="32"/>
      <c r="H42" s="32"/>
      <c r="I42" s="32"/>
      <c r="J42" s="32"/>
      <c r="K42" s="24"/>
      <c r="L42" s="48"/>
    </row>
    <row r="43" spans="2:12" x14ac:dyDescent="0.25">
      <c r="B43" s="47"/>
      <c r="C43" s="27" t="s">
        <v>36</v>
      </c>
      <c r="D43" s="33"/>
      <c r="E43" s="34"/>
      <c r="F43" s="32"/>
      <c r="G43" s="32"/>
      <c r="H43" s="32"/>
      <c r="I43" s="32"/>
      <c r="J43" s="32"/>
      <c r="K43" s="24"/>
      <c r="L43" s="48"/>
    </row>
    <row r="44" spans="2:12" x14ac:dyDescent="0.25">
      <c r="B44" s="47"/>
      <c r="C44" s="23"/>
      <c r="D44" s="32"/>
      <c r="E44" s="32"/>
      <c r="F44" s="32"/>
      <c r="G44" s="32"/>
      <c r="H44" s="32"/>
      <c r="I44" s="32"/>
      <c r="J44" s="32"/>
      <c r="K44" s="24"/>
      <c r="L44" s="48"/>
    </row>
    <row r="45" spans="2:12" ht="18" customHeight="1" x14ac:dyDescent="0.25">
      <c r="B45" s="47"/>
      <c r="C45" s="133" t="s">
        <v>143</v>
      </c>
      <c r="D45" s="134"/>
      <c r="E45" s="134"/>
      <c r="F45" s="134"/>
      <c r="G45" s="134"/>
      <c r="H45" s="134"/>
      <c r="I45" s="134"/>
      <c r="J45" s="134"/>
      <c r="K45" s="135"/>
      <c r="L45" s="48"/>
    </row>
    <row r="46" spans="2:12" x14ac:dyDescent="0.25">
      <c r="B46" s="47"/>
      <c r="C46" s="23"/>
      <c r="D46" s="32"/>
      <c r="E46" s="32"/>
      <c r="F46" s="32"/>
      <c r="G46" s="32"/>
      <c r="H46" s="32"/>
      <c r="I46" s="32"/>
      <c r="J46" s="32"/>
      <c r="K46" s="24"/>
      <c r="L46" s="48"/>
    </row>
    <row r="47" spans="2:12" x14ac:dyDescent="0.25">
      <c r="B47" s="47"/>
      <c r="C47" s="25" t="s">
        <v>22</v>
      </c>
      <c r="D47" s="26" t="e" vm="1">
        <v>#VALUE!</v>
      </c>
      <c r="E47" s="33"/>
      <c r="F47" s="35"/>
      <c r="G47" s="32"/>
      <c r="H47" s="36"/>
      <c r="I47" s="39"/>
      <c r="J47" s="33"/>
      <c r="K47" s="24"/>
      <c r="L47" s="48"/>
    </row>
    <row r="48" spans="2:12" x14ac:dyDescent="0.25">
      <c r="B48" s="47"/>
      <c r="C48" s="25" t="s">
        <v>23</v>
      </c>
      <c r="D48" s="37" t="s">
        <v>411</v>
      </c>
      <c r="E48" s="38"/>
      <c r="F48" s="35"/>
      <c r="G48" s="32"/>
      <c r="H48" s="36"/>
      <c r="I48" s="36"/>
      <c r="J48" s="38"/>
      <c r="K48" s="24"/>
      <c r="L48" s="48"/>
    </row>
    <row r="49" spans="2:12" x14ac:dyDescent="0.25">
      <c r="B49" s="47"/>
      <c r="C49" s="27" t="s">
        <v>24</v>
      </c>
      <c r="D49" s="33" t="s">
        <v>412</v>
      </c>
      <c r="E49" s="34"/>
      <c r="F49" s="35"/>
      <c r="G49" s="32"/>
      <c r="H49" s="39"/>
      <c r="I49" s="39"/>
      <c r="J49" s="34"/>
      <c r="K49" s="24"/>
      <c r="L49" s="48"/>
    </row>
    <row r="50" spans="2:12" x14ac:dyDescent="0.25">
      <c r="B50" s="47"/>
      <c r="C50" s="27" t="s">
        <v>25</v>
      </c>
      <c r="D50" s="34">
        <v>52497293</v>
      </c>
      <c r="E50" s="34"/>
      <c r="F50" s="35"/>
      <c r="G50" s="32"/>
      <c r="H50" s="39"/>
      <c r="I50" s="39"/>
      <c r="J50" s="34"/>
      <c r="K50" s="24"/>
      <c r="L50" s="48"/>
    </row>
    <row r="51" spans="2:12" x14ac:dyDescent="0.25">
      <c r="B51" s="47"/>
      <c r="C51" s="27" t="s">
        <v>26</v>
      </c>
      <c r="D51" s="33" t="s">
        <v>413</v>
      </c>
      <c r="E51" s="34"/>
      <c r="F51" s="35"/>
      <c r="G51" s="32"/>
      <c r="H51" s="39"/>
      <c r="I51" s="39"/>
      <c r="J51" s="34"/>
      <c r="K51" s="24"/>
      <c r="L51" s="48"/>
    </row>
    <row r="52" spans="2:12" ht="15.75" thickBot="1" x14ac:dyDescent="0.3">
      <c r="B52" s="50"/>
      <c r="C52" s="51"/>
      <c r="D52" s="51"/>
      <c r="E52" s="51"/>
      <c r="F52" s="51"/>
      <c r="G52" s="51"/>
      <c r="H52" s="51"/>
      <c r="I52" s="51"/>
      <c r="J52" s="51"/>
      <c r="K52" s="51"/>
      <c r="L52" s="52"/>
    </row>
  </sheetData>
  <mergeCells count="17">
    <mergeCell ref="C16:K16"/>
    <mergeCell ref="C35:K35"/>
    <mergeCell ref="C34:K34"/>
    <mergeCell ref="C36:K36"/>
    <mergeCell ref="D5:I6"/>
    <mergeCell ref="C45:K45"/>
    <mergeCell ref="C30:K30"/>
    <mergeCell ref="C14:K14"/>
    <mergeCell ref="E8:F8"/>
    <mergeCell ref="I8:J8"/>
    <mergeCell ref="E9:F9"/>
    <mergeCell ref="I9:J9"/>
    <mergeCell ref="E10:F10"/>
    <mergeCell ref="I10:J10"/>
    <mergeCell ref="E11:F11"/>
    <mergeCell ref="I11:J11"/>
    <mergeCell ref="E12:F12"/>
  </mergeCells>
  <dataValidations count="2">
    <dataValidation type="list" allowBlank="1" showInputMessage="1" showErrorMessage="1" sqref="I18:I27" xr:uid="{13C89437-37DB-4317-9CB4-8C6525EDDDF4}">
      <formula1>"SIN NOVEDAD, CON NOVEDAD"</formula1>
    </dataValidation>
    <dataValidation type="list" allowBlank="1" showInputMessage="1" showErrorMessage="1" sqref="G18:H27" xr:uid="{0F430194-FD38-4EB3-B128-504B32DFEB55}">
      <formula1>"SI, NO"</formula1>
    </dataValidation>
  </dataValidations>
  <pageMargins left="0.25" right="0.25" top="0.75" bottom="0.75" header="0.3" footer="0.3"/>
  <pageSetup scale="37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4793A4-88BD-4E88-8008-54FB3E312C9E}">
          <x14:formula1>
            <xm:f>'Lista Elementos'!$C$2:$C$162</xm:f>
          </x14:formula1>
          <xm:sqref>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8094-FC77-4FB8-B793-230A335267B6}">
  <dimension ref="A1:D162"/>
  <sheetViews>
    <sheetView zoomScale="55" zoomScaleNormal="55" workbookViewId="0">
      <selection activeCell="C10" sqref="C10"/>
    </sheetView>
  </sheetViews>
  <sheetFormatPr baseColWidth="10" defaultRowHeight="15" x14ac:dyDescent="0.25"/>
  <cols>
    <col min="1" max="1" width="64.28515625" bestFit="1" customWidth="1"/>
    <col min="2" max="2" width="6.7109375" bestFit="1" customWidth="1"/>
    <col min="3" max="3" width="90.28515625" bestFit="1" customWidth="1"/>
    <col min="4" max="4" width="65.5703125" bestFit="1" customWidth="1"/>
  </cols>
  <sheetData>
    <row r="1" spans="1:4" ht="27" customHeight="1" x14ac:dyDescent="0.25">
      <c r="A1" s="99" t="s">
        <v>256</v>
      </c>
      <c r="B1" s="99" t="s">
        <v>257</v>
      </c>
      <c r="C1" s="99" t="s">
        <v>168</v>
      </c>
      <c r="D1" s="99" t="s">
        <v>258</v>
      </c>
    </row>
    <row r="2" spans="1:4" x14ac:dyDescent="0.25">
      <c r="A2" s="100" t="s">
        <v>259</v>
      </c>
      <c r="B2" s="101">
        <v>45052</v>
      </c>
      <c r="C2" s="103" t="s">
        <v>169</v>
      </c>
      <c r="D2" s="103" t="s">
        <v>260</v>
      </c>
    </row>
    <row r="3" spans="1:4" x14ac:dyDescent="0.25">
      <c r="A3" s="100" t="s">
        <v>63</v>
      </c>
      <c r="B3" s="101">
        <v>45053</v>
      </c>
      <c r="C3" s="103" t="s">
        <v>170</v>
      </c>
      <c r="D3" s="104" t="s">
        <v>261</v>
      </c>
    </row>
    <row r="4" spans="1:4" x14ac:dyDescent="0.25">
      <c r="A4" s="153" t="s">
        <v>128</v>
      </c>
      <c r="B4" s="101">
        <v>45054</v>
      </c>
      <c r="C4" s="103" t="s">
        <v>171</v>
      </c>
      <c r="D4" s="104" t="s">
        <v>262</v>
      </c>
    </row>
    <row r="5" spans="1:4" x14ac:dyDescent="0.25">
      <c r="A5" s="153"/>
      <c r="B5" s="101">
        <v>45125</v>
      </c>
      <c r="C5" s="103" t="s">
        <v>172</v>
      </c>
      <c r="D5" s="104" t="s">
        <v>263</v>
      </c>
    </row>
    <row r="6" spans="1:4" x14ac:dyDescent="0.25">
      <c r="A6" s="153" t="s">
        <v>264</v>
      </c>
      <c r="B6" s="101">
        <v>45055</v>
      </c>
      <c r="C6" s="103" t="s">
        <v>173</v>
      </c>
      <c r="D6" s="104" t="s">
        <v>141</v>
      </c>
    </row>
    <row r="7" spans="1:4" x14ac:dyDescent="0.25">
      <c r="A7" s="153"/>
      <c r="B7" s="101">
        <v>45056</v>
      </c>
      <c r="C7" s="103" t="s">
        <v>174</v>
      </c>
      <c r="D7" s="104" t="s">
        <v>265</v>
      </c>
    </row>
    <row r="8" spans="1:4" x14ac:dyDescent="0.25">
      <c r="A8" s="153" t="s">
        <v>266</v>
      </c>
      <c r="B8" s="101">
        <v>45057</v>
      </c>
      <c r="C8" s="103" t="s">
        <v>175</v>
      </c>
      <c r="D8" s="104" t="s">
        <v>140</v>
      </c>
    </row>
    <row r="9" spans="1:4" x14ac:dyDescent="0.25">
      <c r="A9" s="153"/>
      <c r="B9" s="101">
        <v>45108</v>
      </c>
      <c r="C9" s="103" t="s">
        <v>176</v>
      </c>
      <c r="D9" s="104" t="s">
        <v>267</v>
      </c>
    </row>
    <row r="10" spans="1:4" x14ac:dyDescent="0.25">
      <c r="A10" s="153"/>
      <c r="B10" s="101">
        <v>45058</v>
      </c>
      <c r="C10" s="103" t="s">
        <v>177</v>
      </c>
      <c r="D10" s="104" t="s">
        <v>268</v>
      </c>
    </row>
    <row r="11" spans="1:4" x14ac:dyDescent="0.25">
      <c r="A11" s="153"/>
      <c r="B11" s="101">
        <v>45089</v>
      </c>
      <c r="C11" s="103" t="s">
        <v>178</v>
      </c>
      <c r="D11" s="104" t="s">
        <v>269</v>
      </c>
    </row>
    <row r="12" spans="1:4" x14ac:dyDescent="0.25">
      <c r="A12" s="153"/>
      <c r="B12" s="101">
        <v>45059</v>
      </c>
      <c r="C12" s="103" t="s">
        <v>179</v>
      </c>
      <c r="D12" s="104" t="s">
        <v>270</v>
      </c>
    </row>
    <row r="13" spans="1:4" x14ac:dyDescent="0.25">
      <c r="A13" s="153"/>
      <c r="B13" s="101">
        <v>45090</v>
      </c>
      <c r="C13" s="103" t="s">
        <v>180</v>
      </c>
      <c r="D13" s="104" t="s">
        <v>271</v>
      </c>
    </row>
    <row r="14" spans="1:4" x14ac:dyDescent="0.25">
      <c r="A14" s="153"/>
      <c r="B14" s="101">
        <v>45060</v>
      </c>
      <c r="C14" s="103" t="s">
        <v>181</v>
      </c>
      <c r="D14" s="104" t="s">
        <v>272</v>
      </c>
    </row>
    <row r="15" spans="1:4" x14ac:dyDescent="0.25">
      <c r="A15" s="153"/>
      <c r="B15" s="101">
        <v>45091</v>
      </c>
      <c r="C15" s="103" t="s">
        <v>182</v>
      </c>
      <c r="D15" s="104" t="s">
        <v>273</v>
      </c>
    </row>
    <row r="16" spans="1:4" x14ac:dyDescent="0.25">
      <c r="A16" s="153" t="s">
        <v>75</v>
      </c>
      <c r="B16" s="101">
        <v>45061</v>
      </c>
      <c r="C16" s="103" t="s">
        <v>183</v>
      </c>
      <c r="D16" s="104" t="s">
        <v>139</v>
      </c>
    </row>
    <row r="17" spans="1:4" x14ac:dyDescent="0.25">
      <c r="A17" s="153"/>
      <c r="B17" s="101">
        <v>45062</v>
      </c>
      <c r="C17" s="103" t="s">
        <v>184</v>
      </c>
      <c r="D17" s="104" t="s">
        <v>274</v>
      </c>
    </row>
    <row r="18" spans="1:4" x14ac:dyDescent="0.25">
      <c r="A18" s="100" t="s">
        <v>69</v>
      </c>
      <c r="B18" s="101">
        <v>45063</v>
      </c>
      <c r="C18" s="103" t="s">
        <v>185</v>
      </c>
      <c r="D18" s="104" t="s">
        <v>275</v>
      </c>
    </row>
    <row r="19" spans="1:4" x14ac:dyDescent="0.25">
      <c r="A19" s="100" t="s">
        <v>91</v>
      </c>
      <c r="B19" s="101">
        <v>45064</v>
      </c>
      <c r="C19" s="103" t="s">
        <v>186</v>
      </c>
      <c r="D19" s="104" t="s">
        <v>134</v>
      </c>
    </row>
    <row r="20" spans="1:4" x14ac:dyDescent="0.25">
      <c r="A20" s="143"/>
      <c r="B20" s="101">
        <v>45099</v>
      </c>
      <c r="C20" s="103" t="s">
        <v>187</v>
      </c>
      <c r="D20" s="104" t="s">
        <v>276</v>
      </c>
    </row>
    <row r="21" spans="1:4" x14ac:dyDescent="0.25">
      <c r="A21" s="143"/>
      <c r="B21" s="101">
        <v>45127</v>
      </c>
      <c r="C21" s="103" t="s">
        <v>188</v>
      </c>
      <c r="D21" s="104" t="s">
        <v>277</v>
      </c>
    </row>
    <row r="22" spans="1:4" x14ac:dyDescent="0.25">
      <c r="A22" s="143"/>
      <c r="B22" s="101">
        <v>45103</v>
      </c>
      <c r="C22" s="103" t="s">
        <v>189</v>
      </c>
      <c r="D22" s="104" t="s">
        <v>278</v>
      </c>
    </row>
    <row r="23" spans="1:4" x14ac:dyDescent="0.25">
      <c r="A23" s="143"/>
      <c r="B23" s="101">
        <v>45105</v>
      </c>
      <c r="C23" s="103" t="s">
        <v>190</v>
      </c>
      <c r="D23" s="104" t="s">
        <v>279</v>
      </c>
    </row>
    <row r="24" spans="1:4" x14ac:dyDescent="0.25">
      <c r="A24" s="143"/>
      <c r="B24" s="101">
        <v>45107</v>
      </c>
      <c r="C24" s="103" t="s">
        <v>191</v>
      </c>
      <c r="D24" s="104" t="s">
        <v>280</v>
      </c>
    </row>
    <row r="25" spans="1:4" x14ac:dyDescent="0.25">
      <c r="A25" s="143"/>
      <c r="B25" s="101">
        <v>45106</v>
      </c>
      <c r="C25" s="103" t="s">
        <v>192</v>
      </c>
      <c r="D25" s="104" t="s">
        <v>281</v>
      </c>
    </row>
    <row r="26" spans="1:4" x14ac:dyDescent="0.25">
      <c r="A26" s="143"/>
      <c r="B26" s="101">
        <v>45104</v>
      </c>
      <c r="C26" s="103" t="s">
        <v>193</v>
      </c>
      <c r="D26" s="104" t="s">
        <v>147</v>
      </c>
    </row>
    <row r="27" spans="1:4" x14ac:dyDescent="0.25">
      <c r="A27" s="143"/>
      <c r="B27" s="101">
        <v>45126</v>
      </c>
      <c r="C27" s="103" t="s">
        <v>194</v>
      </c>
      <c r="D27" s="104" t="s">
        <v>148</v>
      </c>
    </row>
    <row r="28" spans="1:4" x14ac:dyDescent="0.25">
      <c r="A28" s="143"/>
      <c r="B28" s="101">
        <v>45110</v>
      </c>
      <c r="C28" s="103" t="s">
        <v>195</v>
      </c>
      <c r="D28" s="104" t="s">
        <v>149</v>
      </c>
    </row>
    <row r="29" spans="1:4" x14ac:dyDescent="0.25">
      <c r="A29" s="143"/>
      <c r="B29" s="101">
        <v>45112</v>
      </c>
      <c r="C29" s="103" t="s">
        <v>196</v>
      </c>
      <c r="D29" s="104" t="s">
        <v>150</v>
      </c>
    </row>
    <row r="30" spans="1:4" x14ac:dyDescent="0.25">
      <c r="A30" s="143"/>
      <c r="B30" s="101">
        <v>45115</v>
      </c>
      <c r="C30" s="103" t="s">
        <v>197</v>
      </c>
      <c r="D30" s="104" t="s">
        <v>151</v>
      </c>
    </row>
    <row r="31" spans="1:4" x14ac:dyDescent="0.25">
      <c r="A31" s="143"/>
      <c r="B31" s="101">
        <v>45109</v>
      </c>
      <c r="C31" s="103" t="s">
        <v>198</v>
      </c>
      <c r="D31" s="104" t="s">
        <v>152</v>
      </c>
    </row>
    <row r="32" spans="1:4" x14ac:dyDescent="0.25">
      <c r="A32" s="143"/>
      <c r="B32" s="101">
        <v>45119</v>
      </c>
      <c r="C32" s="103" t="s">
        <v>199</v>
      </c>
      <c r="D32" s="104" t="s">
        <v>153</v>
      </c>
    </row>
    <row r="33" spans="1:4" x14ac:dyDescent="0.25">
      <c r="A33" s="144"/>
      <c r="B33" s="101">
        <v>45120</v>
      </c>
      <c r="C33" s="103" t="s">
        <v>200</v>
      </c>
      <c r="D33" s="104" t="s">
        <v>154</v>
      </c>
    </row>
    <row r="34" spans="1:4" x14ac:dyDescent="0.25">
      <c r="A34" s="153"/>
      <c r="B34" s="101">
        <v>45124</v>
      </c>
      <c r="C34" s="103" t="s">
        <v>201</v>
      </c>
      <c r="D34" s="104" t="s">
        <v>156</v>
      </c>
    </row>
    <row r="35" spans="1:4" x14ac:dyDescent="0.25">
      <c r="A35" s="153"/>
      <c r="B35" s="145">
        <v>45093</v>
      </c>
      <c r="C35" s="103" t="s">
        <v>202</v>
      </c>
      <c r="D35" s="104" t="s">
        <v>157</v>
      </c>
    </row>
    <row r="36" spans="1:4" x14ac:dyDescent="0.25">
      <c r="A36" s="153"/>
      <c r="B36" s="147"/>
      <c r="C36" s="103" t="s">
        <v>203</v>
      </c>
      <c r="D36" s="104"/>
    </row>
    <row r="37" spans="1:4" x14ac:dyDescent="0.25">
      <c r="A37" s="153"/>
      <c r="B37" s="101">
        <v>45102</v>
      </c>
      <c r="C37" s="103" t="s">
        <v>204</v>
      </c>
      <c r="D37" s="104"/>
    </row>
    <row r="38" spans="1:4" x14ac:dyDescent="0.25">
      <c r="A38" s="153"/>
      <c r="B38" s="101">
        <v>45101</v>
      </c>
      <c r="C38" s="103" t="s">
        <v>205</v>
      </c>
      <c r="D38" s="104" t="s">
        <v>158</v>
      </c>
    </row>
    <row r="39" spans="1:4" x14ac:dyDescent="0.25">
      <c r="A39" s="153"/>
      <c r="B39" s="101">
        <v>45094</v>
      </c>
      <c r="C39" s="103" t="s">
        <v>206</v>
      </c>
      <c r="D39" s="104" t="s">
        <v>159</v>
      </c>
    </row>
    <row r="40" spans="1:4" x14ac:dyDescent="0.25">
      <c r="A40" s="153"/>
      <c r="B40" s="101">
        <v>45111</v>
      </c>
      <c r="C40" s="103" t="s">
        <v>207</v>
      </c>
      <c r="D40" s="104" t="s">
        <v>155</v>
      </c>
    </row>
    <row r="41" spans="1:4" x14ac:dyDescent="0.25">
      <c r="A41" s="153"/>
      <c r="B41" s="145">
        <v>45092</v>
      </c>
      <c r="C41" s="103" t="s">
        <v>208</v>
      </c>
      <c r="D41" s="104" t="s">
        <v>160</v>
      </c>
    </row>
    <row r="42" spans="1:4" x14ac:dyDescent="0.25">
      <c r="A42" s="153"/>
      <c r="B42" s="147"/>
      <c r="C42" s="103" t="s">
        <v>209</v>
      </c>
      <c r="D42" s="104"/>
    </row>
    <row r="43" spans="1:4" x14ac:dyDescent="0.25">
      <c r="A43" s="153"/>
      <c r="B43" s="101">
        <v>45113</v>
      </c>
      <c r="C43" s="103" t="s">
        <v>210</v>
      </c>
      <c r="D43" s="104" t="s">
        <v>161</v>
      </c>
    </row>
    <row r="44" spans="1:4" x14ac:dyDescent="0.25">
      <c r="A44" s="153" t="s">
        <v>282</v>
      </c>
      <c r="B44" s="101">
        <v>45068</v>
      </c>
      <c r="C44" s="103" t="s">
        <v>211</v>
      </c>
      <c r="D44" s="104" t="s">
        <v>283</v>
      </c>
    </row>
    <row r="45" spans="1:4" x14ac:dyDescent="0.25">
      <c r="A45" s="153"/>
      <c r="B45" s="101">
        <v>45069</v>
      </c>
      <c r="C45" s="103" t="s">
        <v>212</v>
      </c>
      <c r="D45" s="104" t="s">
        <v>284</v>
      </c>
    </row>
    <row r="46" spans="1:4" x14ac:dyDescent="0.25">
      <c r="A46" s="143"/>
      <c r="B46" s="145">
        <v>45070</v>
      </c>
      <c r="C46" s="148" t="s">
        <v>213</v>
      </c>
      <c r="D46" s="105" t="s">
        <v>146</v>
      </c>
    </row>
    <row r="47" spans="1:4" x14ac:dyDescent="0.25">
      <c r="A47" s="143"/>
      <c r="B47" s="146"/>
      <c r="C47" s="149"/>
      <c r="D47" s="104" t="s">
        <v>285</v>
      </c>
    </row>
    <row r="48" spans="1:4" x14ac:dyDescent="0.25">
      <c r="A48" s="143"/>
      <c r="B48" s="146"/>
      <c r="C48" s="149"/>
      <c r="D48" s="104" t="s">
        <v>286</v>
      </c>
    </row>
    <row r="49" spans="1:4" x14ac:dyDescent="0.25">
      <c r="A49" s="143"/>
      <c r="B49" s="146"/>
      <c r="C49" s="149"/>
      <c r="D49" s="104" t="s">
        <v>287</v>
      </c>
    </row>
    <row r="50" spans="1:4" x14ac:dyDescent="0.25">
      <c r="A50" s="143"/>
      <c r="B50" s="146"/>
      <c r="C50" s="149"/>
      <c r="D50" s="104" t="s">
        <v>288</v>
      </c>
    </row>
    <row r="51" spans="1:4" x14ac:dyDescent="0.25">
      <c r="A51" s="143"/>
      <c r="B51" s="146"/>
      <c r="C51" s="149"/>
      <c r="D51" s="104" t="s">
        <v>289</v>
      </c>
    </row>
    <row r="52" spans="1:4" x14ac:dyDescent="0.25">
      <c r="A52" s="143"/>
      <c r="B52" s="146"/>
      <c r="C52" s="149"/>
      <c r="D52" s="104" t="s">
        <v>290</v>
      </c>
    </row>
    <row r="53" spans="1:4" x14ac:dyDescent="0.25">
      <c r="A53" s="143"/>
      <c r="B53" s="146"/>
      <c r="C53" s="149"/>
      <c r="D53" s="104" t="s">
        <v>291</v>
      </c>
    </row>
    <row r="54" spans="1:4" x14ac:dyDescent="0.25">
      <c r="A54" s="143"/>
      <c r="B54" s="146"/>
      <c r="C54" s="149"/>
      <c r="D54" s="104" t="s">
        <v>292</v>
      </c>
    </row>
    <row r="55" spans="1:4" x14ac:dyDescent="0.25">
      <c r="A55" s="143"/>
      <c r="B55" s="146"/>
      <c r="C55" s="149"/>
      <c r="D55" s="104" t="s">
        <v>293</v>
      </c>
    </row>
    <row r="56" spans="1:4" x14ac:dyDescent="0.25">
      <c r="A56" s="143"/>
      <c r="B56" s="146"/>
      <c r="C56" s="149"/>
      <c r="D56" s="104" t="s">
        <v>294</v>
      </c>
    </row>
    <row r="57" spans="1:4" x14ac:dyDescent="0.25">
      <c r="A57" s="143"/>
      <c r="B57" s="146"/>
      <c r="C57" s="149"/>
      <c r="D57" s="104" t="s">
        <v>295</v>
      </c>
    </row>
    <row r="58" spans="1:4" x14ac:dyDescent="0.25">
      <c r="A58" s="143"/>
      <c r="B58" s="146"/>
      <c r="C58" s="149"/>
      <c r="D58" s="104" t="s">
        <v>296</v>
      </c>
    </row>
    <row r="59" spans="1:4" x14ac:dyDescent="0.25">
      <c r="A59" s="143"/>
      <c r="B59" s="146"/>
      <c r="C59" s="149"/>
      <c r="D59" s="104" t="s">
        <v>297</v>
      </c>
    </row>
    <row r="60" spans="1:4" x14ac:dyDescent="0.25">
      <c r="A60" s="143"/>
      <c r="B60" s="146"/>
      <c r="C60" s="149"/>
      <c r="D60" s="104" t="s">
        <v>298</v>
      </c>
    </row>
    <row r="61" spans="1:4" x14ac:dyDescent="0.25">
      <c r="A61" s="143"/>
      <c r="B61" s="146"/>
      <c r="C61" s="149"/>
      <c r="D61" s="104" t="s">
        <v>299</v>
      </c>
    </row>
    <row r="62" spans="1:4" x14ac:dyDescent="0.25">
      <c r="A62" s="143"/>
      <c r="B62" s="146"/>
      <c r="C62" s="149"/>
      <c r="D62" s="104" t="s">
        <v>300</v>
      </c>
    </row>
    <row r="63" spans="1:4" x14ac:dyDescent="0.25">
      <c r="A63" s="143"/>
      <c r="B63" s="146"/>
      <c r="C63" s="149"/>
      <c r="D63" s="104" t="s">
        <v>301</v>
      </c>
    </row>
    <row r="64" spans="1:4" x14ac:dyDescent="0.25">
      <c r="A64" s="144"/>
      <c r="B64" s="147"/>
      <c r="C64" s="150"/>
      <c r="D64" s="104" t="s">
        <v>302</v>
      </c>
    </row>
    <row r="65" spans="1:4" x14ac:dyDescent="0.25">
      <c r="A65" s="153" t="s">
        <v>303</v>
      </c>
      <c r="B65" s="101">
        <v>45133</v>
      </c>
      <c r="C65" s="103" t="s">
        <v>214</v>
      </c>
      <c r="D65" s="104" t="s">
        <v>304</v>
      </c>
    </row>
    <row r="66" spans="1:4" x14ac:dyDescent="0.25">
      <c r="A66" s="153"/>
      <c r="B66" s="102">
        <v>45121</v>
      </c>
      <c r="C66" s="103" t="s">
        <v>215</v>
      </c>
      <c r="D66" s="104" t="s">
        <v>305</v>
      </c>
    </row>
    <row r="67" spans="1:4" x14ac:dyDescent="0.25">
      <c r="A67" s="153"/>
      <c r="B67" s="101">
        <v>45122</v>
      </c>
      <c r="C67" s="103" t="s">
        <v>216</v>
      </c>
      <c r="D67" s="104" t="s">
        <v>306</v>
      </c>
    </row>
    <row r="68" spans="1:4" x14ac:dyDescent="0.25">
      <c r="A68" s="153"/>
      <c r="B68" s="101">
        <v>45134</v>
      </c>
      <c r="C68" s="103" t="s">
        <v>217</v>
      </c>
      <c r="D68" s="104" t="s">
        <v>307</v>
      </c>
    </row>
    <row r="69" spans="1:4" x14ac:dyDescent="0.25">
      <c r="A69" s="100" t="s">
        <v>308</v>
      </c>
      <c r="B69" s="101">
        <v>45129</v>
      </c>
      <c r="C69" s="103" t="s">
        <v>218</v>
      </c>
      <c r="D69" s="104" t="s">
        <v>309</v>
      </c>
    </row>
    <row r="70" spans="1:4" x14ac:dyDescent="0.25">
      <c r="A70" s="153" t="s">
        <v>310</v>
      </c>
      <c r="B70" s="101">
        <v>45131</v>
      </c>
      <c r="C70" s="103" t="s">
        <v>219</v>
      </c>
      <c r="D70" s="104" t="s">
        <v>311</v>
      </c>
    </row>
    <row r="71" spans="1:4" x14ac:dyDescent="0.25">
      <c r="A71" s="153"/>
      <c r="B71" s="101">
        <v>45132</v>
      </c>
      <c r="C71" s="103" t="s">
        <v>220</v>
      </c>
      <c r="D71" s="104" t="s">
        <v>312</v>
      </c>
    </row>
    <row r="72" spans="1:4" x14ac:dyDescent="0.25">
      <c r="A72" s="153"/>
      <c r="B72" s="101">
        <v>45139</v>
      </c>
      <c r="C72" s="103" t="s">
        <v>221</v>
      </c>
      <c r="D72" s="104" t="s">
        <v>313</v>
      </c>
    </row>
    <row r="73" spans="1:4" x14ac:dyDescent="0.25">
      <c r="A73" s="153"/>
      <c r="B73" s="101">
        <v>45140</v>
      </c>
      <c r="C73" s="103" t="s">
        <v>222</v>
      </c>
      <c r="D73" s="104" t="s">
        <v>314</v>
      </c>
    </row>
    <row r="74" spans="1:4" x14ac:dyDescent="0.25">
      <c r="A74" s="153"/>
      <c r="B74" s="101">
        <v>45141</v>
      </c>
      <c r="C74" s="103" t="s">
        <v>223</v>
      </c>
      <c r="D74" s="104" t="s">
        <v>315</v>
      </c>
    </row>
    <row r="75" spans="1:4" x14ac:dyDescent="0.25">
      <c r="A75" s="153"/>
      <c r="B75" s="101">
        <v>45142</v>
      </c>
      <c r="C75" s="103" t="s">
        <v>224</v>
      </c>
      <c r="D75" s="104" t="s">
        <v>316</v>
      </c>
    </row>
    <row r="76" spans="1:4" x14ac:dyDescent="0.25">
      <c r="A76" s="153"/>
      <c r="B76" s="101">
        <v>45143</v>
      </c>
      <c r="C76" s="103" t="s">
        <v>225</v>
      </c>
      <c r="D76" s="104" t="s">
        <v>317</v>
      </c>
    </row>
    <row r="77" spans="1:4" x14ac:dyDescent="0.25">
      <c r="A77" s="153"/>
      <c r="B77" s="101">
        <v>45144</v>
      </c>
      <c r="C77" s="103" t="s">
        <v>226</v>
      </c>
      <c r="D77" s="104" t="s">
        <v>318</v>
      </c>
    </row>
    <row r="78" spans="1:4" x14ac:dyDescent="0.25">
      <c r="A78" s="153"/>
      <c r="B78" s="101">
        <v>45145</v>
      </c>
      <c r="C78" s="103" t="s">
        <v>227</v>
      </c>
      <c r="D78" s="104" t="s">
        <v>319</v>
      </c>
    </row>
    <row r="79" spans="1:4" x14ac:dyDescent="0.25">
      <c r="A79" s="153"/>
      <c r="B79" s="101">
        <v>45146</v>
      </c>
      <c r="C79" s="103" t="s">
        <v>228</v>
      </c>
      <c r="D79" s="104" t="s">
        <v>320</v>
      </c>
    </row>
    <row r="80" spans="1:4" x14ac:dyDescent="0.25">
      <c r="A80" s="153"/>
      <c r="B80" s="101">
        <v>45147</v>
      </c>
      <c r="C80" s="103" t="s">
        <v>229</v>
      </c>
      <c r="D80" s="104" t="s">
        <v>321</v>
      </c>
    </row>
    <row r="81" spans="1:4" x14ac:dyDescent="0.25">
      <c r="A81" s="153"/>
      <c r="B81" s="101">
        <v>45123</v>
      </c>
      <c r="C81" s="103" t="s">
        <v>230</v>
      </c>
      <c r="D81" s="104" t="s">
        <v>322</v>
      </c>
    </row>
    <row r="82" spans="1:4" x14ac:dyDescent="0.25">
      <c r="A82" s="153"/>
      <c r="B82" s="145">
        <v>45130</v>
      </c>
      <c r="C82" s="148" t="s">
        <v>231</v>
      </c>
      <c r="D82" s="104" t="s">
        <v>323</v>
      </c>
    </row>
    <row r="83" spans="1:4" x14ac:dyDescent="0.25">
      <c r="A83" s="153"/>
      <c r="B83" s="146"/>
      <c r="C83" s="149"/>
      <c r="D83" s="104" t="s">
        <v>324</v>
      </c>
    </row>
    <row r="84" spans="1:4" x14ac:dyDescent="0.25">
      <c r="A84" s="153"/>
      <c r="B84" s="146"/>
      <c r="C84" s="149"/>
      <c r="D84" s="104" t="s">
        <v>325</v>
      </c>
    </row>
    <row r="85" spans="1:4" x14ac:dyDescent="0.25">
      <c r="A85" s="153"/>
      <c r="B85" s="147"/>
      <c r="C85" s="150"/>
      <c r="D85" s="104" t="s">
        <v>326</v>
      </c>
    </row>
    <row r="86" spans="1:4" x14ac:dyDescent="0.25">
      <c r="A86" s="100" t="s">
        <v>327</v>
      </c>
      <c r="B86" s="101">
        <v>45071</v>
      </c>
      <c r="C86" s="103" t="s">
        <v>232</v>
      </c>
      <c r="D86" s="104" t="s">
        <v>135</v>
      </c>
    </row>
    <row r="87" spans="1:4" x14ac:dyDescent="0.25">
      <c r="A87" s="100" t="s">
        <v>328</v>
      </c>
      <c r="B87" s="101">
        <v>45072</v>
      </c>
      <c r="C87" s="103" t="s">
        <v>233</v>
      </c>
      <c r="D87" s="104" t="s">
        <v>329</v>
      </c>
    </row>
    <row r="88" spans="1:4" x14ac:dyDescent="0.25">
      <c r="A88" s="100" t="s">
        <v>330</v>
      </c>
      <c r="B88" s="101">
        <v>45073</v>
      </c>
      <c r="C88" s="103" t="s">
        <v>234</v>
      </c>
      <c r="D88" s="104" t="s">
        <v>331</v>
      </c>
    </row>
    <row r="89" spans="1:4" x14ac:dyDescent="0.25">
      <c r="A89" s="100" t="s">
        <v>332</v>
      </c>
      <c r="B89" s="101">
        <v>45074</v>
      </c>
      <c r="C89" s="103" t="s">
        <v>235</v>
      </c>
      <c r="D89" s="104" t="s">
        <v>136</v>
      </c>
    </row>
    <row r="90" spans="1:4" x14ac:dyDescent="0.25">
      <c r="A90" s="100" t="s">
        <v>333</v>
      </c>
      <c r="B90" s="101">
        <v>45075</v>
      </c>
      <c r="C90" s="103" t="s">
        <v>236</v>
      </c>
      <c r="D90" s="104" t="s">
        <v>334</v>
      </c>
    </row>
    <row r="91" spans="1:4" x14ac:dyDescent="0.25">
      <c r="A91" s="100" t="s">
        <v>137</v>
      </c>
      <c r="B91" s="101">
        <v>45076</v>
      </c>
      <c r="C91" s="103" t="s">
        <v>237</v>
      </c>
      <c r="D91" s="104" t="s">
        <v>335</v>
      </c>
    </row>
    <row r="92" spans="1:4" x14ac:dyDescent="0.25">
      <c r="A92" s="100" t="s">
        <v>336</v>
      </c>
      <c r="B92" s="101">
        <v>45077</v>
      </c>
      <c r="C92" s="103" t="s">
        <v>238</v>
      </c>
      <c r="D92" s="103" t="s">
        <v>138</v>
      </c>
    </row>
    <row r="93" spans="1:4" x14ac:dyDescent="0.25">
      <c r="A93" s="153"/>
      <c r="B93" s="145">
        <v>45078</v>
      </c>
      <c r="C93" s="148" t="s">
        <v>239</v>
      </c>
      <c r="D93" s="104" t="s">
        <v>337</v>
      </c>
    </row>
    <row r="94" spans="1:4" x14ac:dyDescent="0.25">
      <c r="A94" s="153"/>
      <c r="B94" s="147"/>
      <c r="C94" s="150"/>
      <c r="D94" s="104" t="s">
        <v>338</v>
      </c>
    </row>
    <row r="95" spans="1:4" x14ac:dyDescent="0.25">
      <c r="A95" s="143"/>
      <c r="B95" s="145">
        <v>45079</v>
      </c>
      <c r="C95" s="148" t="s">
        <v>240</v>
      </c>
      <c r="D95" s="104" t="s">
        <v>146</v>
      </c>
    </row>
    <row r="96" spans="1:4" x14ac:dyDescent="0.25">
      <c r="A96" s="143"/>
      <c r="B96" s="146"/>
      <c r="C96" s="149"/>
      <c r="D96" s="104" t="s">
        <v>339</v>
      </c>
    </row>
    <row r="97" spans="1:4" x14ac:dyDescent="0.25">
      <c r="A97" s="143"/>
      <c r="B97" s="146"/>
      <c r="C97" s="149"/>
      <c r="D97" s="104" t="s">
        <v>340</v>
      </c>
    </row>
    <row r="98" spans="1:4" x14ac:dyDescent="0.25">
      <c r="A98" s="143"/>
      <c r="B98" s="146"/>
      <c r="C98" s="149"/>
      <c r="D98" s="104" t="s">
        <v>341</v>
      </c>
    </row>
    <row r="99" spans="1:4" x14ac:dyDescent="0.25">
      <c r="A99" s="143"/>
      <c r="B99" s="146"/>
      <c r="C99" s="149"/>
      <c r="D99" s="104" t="s">
        <v>342</v>
      </c>
    </row>
    <row r="100" spans="1:4" x14ac:dyDescent="0.25">
      <c r="A100" s="143"/>
      <c r="B100" s="146"/>
      <c r="C100" s="149"/>
      <c r="D100" s="104" t="s">
        <v>343</v>
      </c>
    </row>
    <row r="101" spans="1:4" x14ac:dyDescent="0.25">
      <c r="A101" s="143"/>
      <c r="B101" s="146"/>
      <c r="C101" s="149"/>
      <c r="D101" s="104" t="s">
        <v>344</v>
      </c>
    </row>
    <row r="102" spans="1:4" x14ac:dyDescent="0.25">
      <c r="A102" s="143"/>
      <c r="B102" s="146"/>
      <c r="C102" s="149"/>
      <c r="D102" s="104" t="s">
        <v>345</v>
      </c>
    </row>
    <row r="103" spans="1:4" x14ac:dyDescent="0.25">
      <c r="A103" s="143"/>
      <c r="B103" s="146"/>
      <c r="C103" s="149"/>
      <c r="D103" s="104" t="s">
        <v>346</v>
      </c>
    </row>
    <row r="104" spans="1:4" x14ac:dyDescent="0.25">
      <c r="A104" s="143"/>
      <c r="B104" s="146"/>
      <c r="C104" s="149"/>
      <c r="D104" s="104" t="s">
        <v>347</v>
      </c>
    </row>
    <row r="105" spans="1:4" x14ac:dyDescent="0.25">
      <c r="A105" s="143"/>
      <c r="B105" s="146"/>
      <c r="C105" s="149"/>
      <c r="D105" s="104" t="s">
        <v>348</v>
      </c>
    </row>
    <row r="106" spans="1:4" x14ac:dyDescent="0.25">
      <c r="A106" s="144"/>
      <c r="B106" s="147"/>
      <c r="C106" s="150"/>
      <c r="D106" s="104" t="s">
        <v>338</v>
      </c>
    </row>
    <row r="107" spans="1:4" x14ac:dyDescent="0.25">
      <c r="A107" s="143"/>
      <c r="B107" s="145">
        <v>45080</v>
      </c>
      <c r="C107" s="154" t="s">
        <v>241</v>
      </c>
      <c r="D107" s="104" t="s">
        <v>349</v>
      </c>
    </row>
    <row r="108" spans="1:4" x14ac:dyDescent="0.25">
      <c r="A108" s="143"/>
      <c r="B108" s="146"/>
      <c r="C108" s="156"/>
      <c r="D108" s="104" t="s">
        <v>348</v>
      </c>
    </row>
    <row r="109" spans="1:4" x14ac:dyDescent="0.25">
      <c r="A109" s="143"/>
      <c r="B109" s="146"/>
      <c r="C109" s="156"/>
      <c r="D109" s="104" t="s">
        <v>350</v>
      </c>
    </row>
    <row r="110" spans="1:4" x14ac:dyDescent="0.25">
      <c r="A110" s="143"/>
      <c r="B110" s="146"/>
      <c r="C110" s="156"/>
      <c r="D110" s="104" t="s">
        <v>351</v>
      </c>
    </row>
    <row r="111" spans="1:4" x14ac:dyDescent="0.25">
      <c r="A111" s="143"/>
      <c r="B111" s="146"/>
      <c r="C111" s="156"/>
      <c r="D111" s="104" t="s">
        <v>352</v>
      </c>
    </row>
    <row r="112" spans="1:4" x14ac:dyDescent="0.25">
      <c r="A112" s="143"/>
      <c r="B112" s="146"/>
      <c r="C112" s="156"/>
      <c r="D112" s="104" t="s">
        <v>353</v>
      </c>
    </row>
    <row r="113" spans="1:4" x14ac:dyDescent="0.25">
      <c r="A113" s="143"/>
      <c r="B113" s="146"/>
      <c r="C113" s="156"/>
      <c r="D113" s="104" t="s">
        <v>354</v>
      </c>
    </row>
    <row r="114" spans="1:4" x14ac:dyDescent="0.25">
      <c r="A114" s="143"/>
      <c r="B114" s="146"/>
      <c r="C114" s="156"/>
      <c r="D114" s="104" t="s">
        <v>355</v>
      </c>
    </row>
    <row r="115" spans="1:4" x14ac:dyDescent="0.25">
      <c r="A115" s="143"/>
      <c r="B115" s="146"/>
      <c r="C115" s="156"/>
      <c r="D115" s="104" t="s">
        <v>356</v>
      </c>
    </row>
    <row r="116" spans="1:4" x14ac:dyDescent="0.25">
      <c r="A116" s="144"/>
      <c r="B116" s="147"/>
      <c r="C116" s="155"/>
      <c r="D116" s="104" t="s">
        <v>338</v>
      </c>
    </row>
    <row r="117" spans="1:4" x14ac:dyDescent="0.25">
      <c r="A117" s="143"/>
      <c r="B117" s="101">
        <v>45081</v>
      </c>
      <c r="C117" s="103" t="s">
        <v>242</v>
      </c>
      <c r="D117" s="106" t="s">
        <v>357</v>
      </c>
    </row>
    <row r="118" spans="1:4" x14ac:dyDescent="0.25">
      <c r="A118" s="143"/>
      <c r="B118" s="101">
        <v>45114</v>
      </c>
      <c r="C118" s="103" t="s">
        <v>243</v>
      </c>
      <c r="D118" s="104" t="s">
        <v>358</v>
      </c>
    </row>
    <row r="119" spans="1:4" x14ac:dyDescent="0.25">
      <c r="A119" s="151" t="s">
        <v>359</v>
      </c>
      <c r="B119" s="101">
        <v>45100</v>
      </c>
      <c r="C119" s="103" t="s">
        <v>244</v>
      </c>
      <c r="D119" s="104" t="s">
        <v>360</v>
      </c>
    </row>
    <row r="120" spans="1:4" x14ac:dyDescent="0.25">
      <c r="A120" s="144"/>
      <c r="B120" s="101">
        <v>45116</v>
      </c>
      <c r="C120" s="103" t="s">
        <v>245</v>
      </c>
      <c r="D120" s="104" t="s">
        <v>361</v>
      </c>
    </row>
    <row r="121" spans="1:4" x14ac:dyDescent="0.25">
      <c r="A121" s="153"/>
      <c r="B121" s="145">
        <v>45083</v>
      </c>
      <c r="C121" s="154" t="s">
        <v>246</v>
      </c>
      <c r="D121" s="103" t="s">
        <v>362</v>
      </c>
    </row>
    <row r="122" spans="1:4" x14ac:dyDescent="0.25">
      <c r="A122" s="153"/>
      <c r="B122" s="147"/>
      <c r="C122" s="155"/>
      <c r="D122" s="106" t="s">
        <v>363</v>
      </c>
    </row>
    <row r="123" spans="1:4" ht="27" x14ac:dyDescent="0.25">
      <c r="A123" s="152" t="s">
        <v>364</v>
      </c>
      <c r="B123" s="101">
        <v>45117</v>
      </c>
      <c r="C123" s="103" t="s">
        <v>247</v>
      </c>
      <c r="D123" s="106" t="s">
        <v>365</v>
      </c>
    </row>
    <row r="124" spans="1:4" x14ac:dyDescent="0.25">
      <c r="A124" s="152"/>
      <c r="B124" s="101">
        <v>45084</v>
      </c>
      <c r="C124" s="103" t="s">
        <v>247</v>
      </c>
      <c r="D124" s="106" t="s">
        <v>364</v>
      </c>
    </row>
    <row r="125" spans="1:4" x14ac:dyDescent="0.25">
      <c r="A125" s="153"/>
      <c r="B125" s="145">
        <v>45085</v>
      </c>
      <c r="C125" s="154" t="s">
        <v>248</v>
      </c>
      <c r="D125" s="104" t="s">
        <v>366</v>
      </c>
    </row>
    <row r="126" spans="1:4" x14ac:dyDescent="0.25">
      <c r="A126" s="153"/>
      <c r="B126" s="147"/>
      <c r="C126" s="155"/>
      <c r="D126" s="104" t="s">
        <v>367</v>
      </c>
    </row>
    <row r="127" spans="1:4" ht="27" x14ac:dyDescent="0.25">
      <c r="A127" s="153" t="s">
        <v>368</v>
      </c>
      <c r="B127" s="101">
        <v>45086</v>
      </c>
      <c r="C127" s="103" t="s">
        <v>249</v>
      </c>
      <c r="D127" s="106" t="s">
        <v>369</v>
      </c>
    </row>
    <row r="128" spans="1:4" ht="27" x14ac:dyDescent="0.25">
      <c r="A128" s="153"/>
      <c r="B128" s="101">
        <v>45118</v>
      </c>
      <c r="C128" s="103" t="s">
        <v>250</v>
      </c>
      <c r="D128" s="106" t="s">
        <v>370</v>
      </c>
    </row>
    <row r="129" spans="1:4" x14ac:dyDescent="0.25">
      <c r="A129" s="143"/>
      <c r="B129" s="145">
        <v>45087</v>
      </c>
      <c r="C129" s="148" t="s">
        <v>251</v>
      </c>
      <c r="D129" s="104" t="s">
        <v>371</v>
      </c>
    </row>
    <row r="130" spans="1:4" x14ac:dyDescent="0.25">
      <c r="A130" s="143"/>
      <c r="B130" s="146"/>
      <c r="C130" s="149"/>
      <c r="D130" s="104" t="s">
        <v>372</v>
      </c>
    </row>
    <row r="131" spans="1:4" x14ac:dyDescent="0.25">
      <c r="A131" s="143"/>
      <c r="B131" s="146"/>
      <c r="C131" s="149"/>
      <c r="D131" s="104" t="s">
        <v>373</v>
      </c>
    </row>
    <row r="132" spans="1:4" x14ac:dyDescent="0.25">
      <c r="A132" s="143"/>
      <c r="B132" s="146"/>
      <c r="C132" s="149"/>
      <c r="D132" s="104" t="s">
        <v>374</v>
      </c>
    </row>
    <row r="133" spans="1:4" x14ac:dyDescent="0.25">
      <c r="A133" s="143"/>
      <c r="B133" s="146"/>
      <c r="C133" s="149"/>
      <c r="D133" s="104" t="s">
        <v>375</v>
      </c>
    </row>
    <row r="134" spans="1:4" x14ac:dyDescent="0.25">
      <c r="A134" s="143"/>
      <c r="B134" s="146"/>
      <c r="C134" s="149"/>
      <c r="D134" s="104" t="s">
        <v>376</v>
      </c>
    </row>
    <row r="135" spans="1:4" x14ac:dyDescent="0.25">
      <c r="A135" s="143"/>
      <c r="B135" s="146"/>
      <c r="C135" s="149"/>
      <c r="D135" s="104" t="s">
        <v>377</v>
      </c>
    </row>
    <row r="136" spans="1:4" x14ac:dyDescent="0.25">
      <c r="A136" s="143"/>
      <c r="B136" s="146"/>
      <c r="C136" s="149"/>
      <c r="D136" s="104" t="s">
        <v>378</v>
      </c>
    </row>
    <row r="137" spans="1:4" x14ac:dyDescent="0.25">
      <c r="A137" s="143"/>
      <c r="B137" s="146"/>
      <c r="C137" s="149"/>
      <c r="D137" s="104" t="s">
        <v>379</v>
      </c>
    </row>
    <row r="138" spans="1:4" x14ac:dyDescent="0.25">
      <c r="A138" s="143"/>
      <c r="B138" s="146"/>
      <c r="C138" s="149"/>
      <c r="D138" s="104" t="s">
        <v>380</v>
      </c>
    </row>
    <row r="139" spans="1:4" x14ac:dyDescent="0.25">
      <c r="A139" s="143"/>
      <c r="B139" s="146"/>
      <c r="C139" s="149"/>
      <c r="D139" s="104" t="s">
        <v>381</v>
      </c>
    </row>
    <row r="140" spans="1:4" x14ac:dyDescent="0.25">
      <c r="A140" s="143"/>
      <c r="B140" s="146"/>
      <c r="C140" s="149"/>
      <c r="D140" s="104" t="s">
        <v>382</v>
      </c>
    </row>
    <row r="141" spans="1:4" x14ac:dyDescent="0.25">
      <c r="A141" s="143"/>
      <c r="B141" s="146"/>
      <c r="C141" s="149"/>
      <c r="D141" s="104" t="s">
        <v>383</v>
      </c>
    </row>
    <row r="142" spans="1:4" x14ac:dyDescent="0.25">
      <c r="A142" s="143"/>
      <c r="B142" s="146"/>
      <c r="C142" s="149"/>
      <c r="D142" s="104" t="s">
        <v>384</v>
      </c>
    </row>
    <row r="143" spans="1:4" x14ac:dyDescent="0.25">
      <c r="A143" s="143"/>
      <c r="B143" s="146"/>
      <c r="C143" s="149"/>
      <c r="D143" s="104" t="s">
        <v>385</v>
      </c>
    </row>
    <row r="144" spans="1:4" x14ac:dyDescent="0.25">
      <c r="A144" s="143"/>
      <c r="B144" s="146"/>
      <c r="C144" s="149"/>
      <c r="D144" s="104" t="s">
        <v>386</v>
      </c>
    </row>
    <row r="145" spans="1:4" x14ac:dyDescent="0.25">
      <c r="A145" s="143"/>
      <c r="B145" s="146"/>
      <c r="C145" s="149"/>
      <c r="D145" s="104" t="s">
        <v>387</v>
      </c>
    </row>
    <row r="146" spans="1:4" x14ac:dyDescent="0.25">
      <c r="A146" s="143"/>
      <c r="B146" s="146"/>
      <c r="C146" s="149"/>
      <c r="D146" s="104" t="s">
        <v>388</v>
      </c>
    </row>
    <row r="147" spans="1:4" x14ac:dyDescent="0.25">
      <c r="A147" s="143"/>
      <c r="B147" s="146"/>
      <c r="C147" s="149"/>
      <c r="D147" s="104" t="s">
        <v>389</v>
      </c>
    </row>
    <row r="148" spans="1:4" x14ac:dyDescent="0.25">
      <c r="A148" s="143"/>
      <c r="B148" s="146"/>
      <c r="C148" s="149"/>
      <c r="D148" s="104" t="s">
        <v>390</v>
      </c>
    </row>
    <row r="149" spans="1:4" x14ac:dyDescent="0.25">
      <c r="A149" s="143"/>
      <c r="B149" s="146"/>
      <c r="C149" s="149"/>
      <c r="D149" s="104" t="s">
        <v>391</v>
      </c>
    </row>
    <row r="150" spans="1:4" x14ac:dyDescent="0.25">
      <c r="A150" s="143"/>
      <c r="B150" s="146"/>
      <c r="C150" s="149"/>
      <c r="D150" s="104" t="s">
        <v>392</v>
      </c>
    </row>
    <row r="151" spans="1:4" x14ac:dyDescent="0.25">
      <c r="A151" s="143"/>
      <c r="B151" s="146"/>
      <c r="C151" s="149"/>
      <c r="D151" s="104" t="s">
        <v>393</v>
      </c>
    </row>
    <row r="152" spans="1:4" x14ac:dyDescent="0.25">
      <c r="A152" s="143"/>
      <c r="B152" s="146"/>
      <c r="C152" s="149"/>
      <c r="D152" s="104" t="s">
        <v>394</v>
      </c>
    </row>
    <row r="153" spans="1:4" x14ac:dyDescent="0.25">
      <c r="A153" s="143"/>
      <c r="B153" s="146"/>
      <c r="C153" s="149"/>
      <c r="D153" s="104" t="s">
        <v>395</v>
      </c>
    </row>
    <row r="154" spans="1:4" x14ac:dyDescent="0.25">
      <c r="A154" s="143"/>
      <c r="B154" s="146"/>
      <c r="C154" s="149"/>
      <c r="D154" s="104" t="s">
        <v>396</v>
      </c>
    </row>
    <row r="155" spans="1:4" x14ac:dyDescent="0.25">
      <c r="A155" s="143"/>
      <c r="B155" s="146"/>
      <c r="C155" s="149"/>
      <c r="D155" s="104" t="s">
        <v>397</v>
      </c>
    </row>
    <row r="156" spans="1:4" x14ac:dyDescent="0.25">
      <c r="A156" s="143"/>
      <c r="B156" s="146"/>
      <c r="C156" s="149"/>
      <c r="D156" s="104" t="s">
        <v>398</v>
      </c>
    </row>
    <row r="157" spans="1:4" x14ac:dyDescent="0.25">
      <c r="A157" s="143"/>
      <c r="B157" s="146"/>
      <c r="C157" s="149"/>
      <c r="D157" s="104" t="s">
        <v>399</v>
      </c>
    </row>
    <row r="158" spans="1:4" x14ac:dyDescent="0.25">
      <c r="A158" s="144"/>
      <c r="B158" s="147"/>
      <c r="C158" s="150"/>
      <c r="D158" s="104" t="s">
        <v>400</v>
      </c>
    </row>
    <row r="159" spans="1:4" x14ac:dyDescent="0.25">
      <c r="A159" s="151" t="s">
        <v>401</v>
      </c>
      <c r="B159" s="101">
        <v>45095</v>
      </c>
      <c r="C159" s="103" t="s">
        <v>252</v>
      </c>
      <c r="D159" s="104" t="s">
        <v>402</v>
      </c>
    </row>
    <row r="160" spans="1:4" x14ac:dyDescent="0.25">
      <c r="A160" s="143"/>
      <c r="B160" s="101">
        <v>45096</v>
      </c>
      <c r="C160" s="103" t="s">
        <v>253</v>
      </c>
      <c r="D160" s="104" t="s">
        <v>403</v>
      </c>
    </row>
    <row r="161" spans="1:4" x14ac:dyDescent="0.25">
      <c r="A161" s="143"/>
      <c r="B161" s="101">
        <v>45097</v>
      </c>
      <c r="C161" s="103" t="s">
        <v>254</v>
      </c>
      <c r="D161" s="104" t="s">
        <v>404</v>
      </c>
    </row>
    <row r="162" spans="1:4" x14ac:dyDescent="0.25">
      <c r="A162" s="144"/>
      <c r="B162" s="101">
        <v>45098</v>
      </c>
      <c r="C162" s="103" t="s">
        <v>255</v>
      </c>
      <c r="D162" s="104" t="s">
        <v>405</v>
      </c>
    </row>
  </sheetData>
  <mergeCells count="40">
    <mergeCell ref="A44:A45"/>
    <mergeCell ref="A46:A64"/>
    <mergeCell ref="A93:A94"/>
    <mergeCell ref="A107:A116"/>
    <mergeCell ref="A34:A43"/>
    <mergeCell ref="B35:B36"/>
    <mergeCell ref="B41:B42"/>
    <mergeCell ref="A4:A5"/>
    <mergeCell ref="A6:A7"/>
    <mergeCell ref="A8:A15"/>
    <mergeCell ref="A16:A17"/>
    <mergeCell ref="A20:A33"/>
    <mergeCell ref="B46:B64"/>
    <mergeCell ref="C46:C64"/>
    <mergeCell ref="A65:A68"/>
    <mergeCell ref="A70:A81"/>
    <mergeCell ref="A82:A85"/>
    <mergeCell ref="B82:B85"/>
    <mergeCell ref="C82:C85"/>
    <mergeCell ref="B93:B94"/>
    <mergeCell ref="C93:C94"/>
    <mergeCell ref="A95:A106"/>
    <mergeCell ref="B95:B106"/>
    <mergeCell ref="C95:C106"/>
    <mergeCell ref="B107:B116"/>
    <mergeCell ref="C107:C116"/>
    <mergeCell ref="A117:A118"/>
    <mergeCell ref="A119:A120"/>
    <mergeCell ref="A121:A122"/>
    <mergeCell ref="B121:B122"/>
    <mergeCell ref="C121:C122"/>
    <mergeCell ref="A129:A158"/>
    <mergeCell ref="B129:B158"/>
    <mergeCell ref="C129:C158"/>
    <mergeCell ref="A159:A162"/>
    <mergeCell ref="A123:A124"/>
    <mergeCell ref="A125:A126"/>
    <mergeCell ref="B125:B126"/>
    <mergeCell ref="C125:C126"/>
    <mergeCell ref="A127:A1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8047-8203-4A6F-832E-E43466D7EC3E}">
  <dimension ref="B5:J76"/>
  <sheetViews>
    <sheetView showGridLines="0" zoomScale="90" workbookViewId="0">
      <selection activeCell="B10" sqref="B10:C10"/>
    </sheetView>
  </sheetViews>
  <sheetFormatPr baseColWidth="10" defaultRowHeight="15" x14ac:dyDescent="0.25"/>
  <cols>
    <col min="2" max="5" width="30.28515625" customWidth="1"/>
    <col min="7" max="7" width="27.28515625" customWidth="1"/>
    <col min="8" max="8" width="41.5703125" customWidth="1"/>
    <col min="9" max="9" width="29.42578125" customWidth="1"/>
    <col min="10" max="10" width="30.5703125" customWidth="1"/>
  </cols>
  <sheetData>
    <row r="5" spans="2:10" x14ac:dyDescent="0.25">
      <c r="B5" s="159" t="s">
        <v>117</v>
      </c>
      <c r="C5" s="159"/>
      <c r="D5" s="159"/>
      <c r="E5" s="159"/>
      <c r="G5" s="159" t="s">
        <v>43</v>
      </c>
      <c r="H5" s="159"/>
      <c r="I5" s="159"/>
      <c r="J5" s="159"/>
    </row>
    <row r="6" spans="2:10" x14ac:dyDescent="0.25">
      <c r="B6" s="160" t="s">
        <v>62</v>
      </c>
      <c r="C6" s="160"/>
      <c r="D6" s="161" t="str">
        <f>IF(D7="","",IF(OR(D9="NO",D10="NO",D11="NO",D12="NO",D13="NO",D14="NO",D15="NO",D16="NO",D17="NO",D18="NO",D19="NO",D20="NO"),"Elemento validado con novedades","Elemento validado sin novedades"))</f>
        <v/>
      </c>
      <c r="E6" s="161"/>
      <c r="G6" s="160" t="s">
        <v>62</v>
      </c>
      <c r="H6" s="160"/>
      <c r="I6" s="161" t="str">
        <f>IF(I7="","",IF(OR(I9="NO",I10="NO",I11="NO",I12="NO",I13="NO",I14="NO",I15="NO",I16="NO",I17="NO",I18="NO",I19="NO"),"Elemento validado con novedades","Elemento validado sin novedades"))</f>
        <v/>
      </c>
      <c r="J6" s="161"/>
    </row>
    <row r="7" spans="2:10" x14ac:dyDescent="0.25">
      <c r="B7" s="160" t="s">
        <v>49</v>
      </c>
      <c r="C7" s="160"/>
      <c r="D7" s="162"/>
      <c r="E7" s="162"/>
      <c r="G7" s="160" t="s">
        <v>49</v>
      </c>
      <c r="H7" s="160"/>
      <c r="I7" s="162"/>
      <c r="J7" s="162"/>
    </row>
    <row r="8" spans="2:10" x14ac:dyDescent="0.25">
      <c r="B8" s="160" t="s">
        <v>47</v>
      </c>
      <c r="C8" s="160"/>
      <c r="D8" s="70" t="s">
        <v>48</v>
      </c>
      <c r="E8" s="70" t="s">
        <v>20</v>
      </c>
      <c r="G8" s="160" t="s">
        <v>47</v>
      </c>
      <c r="H8" s="160"/>
      <c r="I8" s="70" t="s">
        <v>48</v>
      </c>
      <c r="J8" s="70" t="s">
        <v>20</v>
      </c>
    </row>
    <row r="9" spans="2:10" x14ac:dyDescent="0.25">
      <c r="B9" s="157" t="s">
        <v>81</v>
      </c>
      <c r="C9" s="157"/>
      <c r="D9" s="12"/>
      <c r="E9" s="12"/>
      <c r="G9" s="157" t="s">
        <v>82</v>
      </c>
      <c r="H9" s="157"/>
      <c r="I9" s="12"/>
      <c r="J9" s="12"/>
    </row>
    <row r="10" spans="2:10" ht="45" x14ac:dyDescent="0.25">
      <c r="B10" s="72" t="s">
        <v>45</v>
      </c>
      <c r="C10" s="73" t="s">
        <v>46</v>
      </c>
      <c r="D10" s="71" t="str">
        <f>IFERROR(IF(VLOOKUP("NST - MONITOR INTERACTIVO"&amp;D7,'Sabana de Seriales Despachados'!#REF!,3,0)=D7,"SI","NO")," ")</f>
        <v xml:space="preserve"> </v>
      </c>
      <c r="E10" s="12"/>
      <c r="G10" s="72" t="s">
        <v>45</v>
      </c>
      <c r="H10" s="73" t="s">
        <v>46</v>
      </c>
      <c r="I10" s="71" t="str">
        <f>IFERROR(IF(VLOOKUP("NST - IMPRESORA 3D"&amp;I7,'Sabana de Seriales Despachados'!#REF!,3,0)=I7,"SI","NO")," ")</f>
        <v xml:space="preserve"> </v>
      </c>
      <c r="J10" s="12"/>
    </row>
    <row r="11" spans="2:10" ht="22.5" x14ac:dyDescent="0.25">
      <c r="B11" s="157" t="s">
        <v>50</v>
      </c>
      <c r="C11" s="73" t="s">
        <v>59</v>
      </c>
      <c r="D11" s="12"/>
      <c r="E11" s="12"/>
      <c r="G11" s="72" t="s">
        <v>50</v>
      </c>
      <c r="H11" s="73" t="s">
        <v>44</v>
      </c>
      <c r="I11" s="12"/>
      <c r="J11" s="12"/>
    </row>
    <row r="12" spans="2:10" ht="33.75" x14ac:dyDescent="0.25">
      <c r="B12" s="157"/>
      <c r="C12" s="73" t="s">
        <v>42</v>
      </c>
      <c r="D12" s="12"/>
      <c r="E12" s="12"/>
      <c r="G12" s="72" t="s">
        <v>51</v>
      </c>
      <c r="H12" s="73" t="s">
        <v>60</v>
      </c>
      <c r="I12" s="12"/>
      <c r="J12" s="12"/>
    </row>
    <row r="13" spans="2:10" ht="33.75" x14ac:dyDescent="0.25">
      <c r="B13" s="72" t="s">
        <v>51</v>
      </c>
      <c r="C13" s="73" t="s">
        <v>58</v>
      </c>
      <c r="D13" s="12"/>
      <c r="E13" s="12"/>
      <c r="G13" s="87" t="s">
        <v>61</v>
      </c>
      <c r="H13" s="88" t="s">
        <v>103</v>
      </c>
      <c r="I13" s="12"/>
      <c r="J13" s="12"/>
    </row>
    <row r="14" spans="2:10" ht="22.5" x14ac:dyDescent="0.25">
      <c r="B14" s="158" t="s">
        <v>64</v>
      </c>
      <c r="C14" s="88" t="s">
        <v>52</v>
      </c>
      <c r="D14" s="12"/>
      <c r="E14" s="12"/>
      <c r="G14" s="158" t="s">
        <v>99</v>
      </c>
      <c r="H14" s="88" t="s">
        <v>100</v>
      </c>
      <c r="I14" s="12"/>
      <c r="J14" s="12"/>
    </row>
    <row r="15" spans="2:10" x14ac:dyDescent="0.25">
      <c r="B15" s="158"/>
      <c r="C15" s="88" t="s">
        <v>53</v>
      </c>
      <c r="D15" s="12"/>
      <c r="E15" s="12"/>
      <c r="G15" s="158"/>
      <c r="H15" s="88" t="s">
        <v>101</v>
      </c>
      <c r="I15" s="12"/>
      <c r="J15" s="12"/>
    </row>
    <row r="16" spans="2:10" x14ac:dyDescent="0.25">
      <c r="B16" s="158"/>
      <c r="C16" s="88" t="s">
        <v>54</v>
      </c>
      <c r="D16" s="12"/>
      <c r="E16" s="12"/>
      <c r="G16" s="158"/>
      <c r="H16" s="88" t="s">
        <v>97</v>
      </c>
      <c r="I16" s="12"/>
      <c r="J16" s="12"/>
    </row>
    <row r="17" spans="2:10" x14ac:dyDescent="0.25">
      <c r="B17" s="158"/>
      <c r="C17" s="88" t="s">
        <v>55</v>
      </c>
      <c r="D17" s="12"/>
      <c r="E17" s="12"/>
      <c r="G17" s="158"/>
      <c r="H17" s="88" t="s">
        <v>98</v>
      </c>
      <c r="I17" s="12"/>
      <c r="J17" s="12"/>
    </row>
    <row r="18" spans="2:10" x14ac:dyDescent="0.25">
      <c r="B18" s="158"/>
      <c r="C18" s="88" t="s">
        <v>56</v>
      </c>
      <c r="D18" s="12"/>
      <c r="E18" s="12"/>
      <c r="G18" s="158"/>
      <c r="H18" s="88" t="s">
        <v>102</v>
      </c>
      <c r="I18" s="12"/>
      <c r="J18" s="12"/>
    </row>
    <row r="19" spans="2:10" ht="21.75" customHeight="1" x14ac:dyDescent="0.25">
      <c r="B19" s="158"/>
      <c r="C19" s="88" t="s">
        <v>57</v>
      </c>
      <c r="D19" s="12"/>
      <c r="E19" s="12"/>
      <c r="G19" s="72" t="s">
        <v>90</v>
      </c>
      <c r="H19" s="73" t="s">
        <v>104</v>
      </c>
      <c r="I19" s="12"/>
      <c r="J19" s="12"/>
    </row>
    <row r="20" spans="2:10" ht="22.5" x14ac:dyDescent="0.25">
      <c r="B20" s="72" t="s">
        <v>90</v>
      </c>
      <c r="C20" s="73" t="s">
        <v>112</v>
      </c>
      <c r="D20" s="12"/>
      <c r="E20" s="12"/>
    </row>
    <row r="23" spans="2:10" x14ac:dyDescent="0.25">
      <c r="B23" s="159" t="s">
        <v>63</v>
      </c>
      <c r="C23" s="159"/>
      <c r="D23" s="159"/>
      <c r="E23" s="159"/>
      <c r="G23" s="159" t="s">
        <v>69</v>
      </c>
      <c r="H23" s="159"/>
      <c r="I23" s="159"/>
      <c r="J23" s="159"/>
    </row>
    <row r="24" spans="2:10" x14ac:dyDescent="0.25">
      <c r="B24" s="160" t="s">
        <v>62</v>
      </c>
      <c r="C24" s="160"/>
      <c r="D24" s="161" t="str">
        <f>IF(D25="","",IF(OR(D27="NO",D28="NO",D29="NO",D30="NO",D32="NO",D33="NO",D34="NO",D35="NO",D36="NO",D37="NO"),"Elemento validado con novedades","Elemento validado sin novedades"))</f>
        <v/>
      </c>
      <c r="E24" s="161"/>
      <c r="G24" s="160" t="s">
        <v>62</v>
      </c>
      <c r="H24" s="160"/>
      <c r="I24" s="161" t="str">
        <f>IF(I25="","",IF(OR(I27="NO",I28="NO",I29="NO",I30="NO",I32="NO",I33="NO",I34="NO",I35="NO",I36="NO",I31="NO"),"Elemento validado con novedades","Elemento validado sin novedades"))</f>
        <v/>
      </c>
      <c r="J24" s="161"/>
    </row>
    <row r="25" spans="2:10" x14ac:dyDescent="0.25">
      <c r="B25" s="160" t="s">
        <v>49</v>
      </c>
      <c r="C25" s="160"/>
      <c r="D25" s="162"/>
      <c r="E25" s="162"/>
      <c r="G25" s="160" t="s">
        <v>49</v>
      </c>
      <c r="H25" s="160"/>
      <c r="I25" s="162"/>
      <c r="J25" s="162"/>
    </row>
    <row r="26" spans="2:10" x14ac:dyDescent="0.25">
      <c r="B26" s="160" t="s">
        <v>47</v>
      </c>
      <c r="C26" s="160"/>
      <c r="D26" s="70" t="s">
        <v>48</v>
      </c>
      <c r="E26" s="70" t="s">
        <v>20</v>
      </c>
      <c r="G26" s="160" t="s">
        <v>47</v>
      </c>
      <c r="H26" s="160"/>
      <c r="I26" s="70" t="s">
        <v>48</v>
      </c>
      <c r="J26" s="70" t="s">
        <v>20</v>
      </c>
    </row>
    <row r="27" spans="2:10" x14ac:dyDescent="0.25">
      <c r="B27" s="163" t="s">
        <v>83</v>
      </c>
      <c r="C27" s="164"/>
      <c r="D27" s="12"/>
      <c r="E27" s="12"/>
      <c r="G27" s="157" t="s">
        <v>84</v>
      </c>
      <c r="H27" s="157"/>
      <c r="I27" s="12"/>
      <c r="J27" s="12"/>
    </row>
    <row r="28" spans="2:10" ht="45" x14ac:dyDescent="0.25">
      <c r="B28" s="72" t="s">
        <v>45</v>
      </c>
      <c r="C28" s="73" t="s">
        <v>46</v>
      </c>
      <c r="D28" s="71" t="str">
        <f>IFERROR(IF(VLOOKUP("NST - TABLETA"&amp;D25,'Sabana de Seriales Despachados'!#REF!,3,0)=D25,"SI","NO")," ")</f>
        <v xml:space="preserve"> </v>
      </c>
      <c r="E28" s="12"/>
      <c r="G28" s="72" t="s">
        <v>45</v>
      </c>
      <c r="H28" s="73" t="s">
        <v>46</v>
      </c>
      <c r="I28" s="71" t="str">
        <f>IFERROR(IF(VLOOKUP("NST - GESTOR DE CONTENIDOS"&amp;I25,'Sabana de Seriales Despachados'!#REF!,3,0)=I25,"SI","NO")," ")</f>
        <v xml:space="preserve"> </v>
      </c>
      <c r="J28" s="12"/>
    </row>
    <row r="29" spans="2:10" ht="22.5" x14ac:dyDescent="0.25">
      <c r="B29" s="165" t="s">
        <v>50</v>
      </c>
      <c r="C29" s="73" t="s">
        <v>67</v>
      </c>
      <c r="D29" s="12"/>
      <c r="E29" s="12"/>
      <c r="G29" s="76" t="s">
        <v>50</v>
      </c>
      <c r="H29" s="73" t="s">
        <v>70</v>
      </c>
      <c r="I29" s="12"/>
      <c r="J29" s="12"/>
    </row>
    <row r="30" spans="2:10" ht="33.75" x14ac:dyDescent="0.25">
      <c r="B30" s="166"/>
      <c r="C30" s="73" t="s">
        <v>42</v>
      </c>
      <c r="D30" s="12"/>
      <c r="E30" s="12"/>
      <c r="G30" s="72" t="s">
        <v>51</v>
      </c>
      <c r="H30" s="73" t="s">
        <v>71</v>
      </c>
      <c r="I30" s="12"/>
      <c r="J30" s="12"/>
    </row>
    <row r="31" spans="2:10" ht="22.5" x14ac:dyDescent="0.25">
      <c r="B31" s="167"/>
      <c r="C31" s="77" t="s">
        <v>114</v>
      </c>
      <c r="D31" s="21"/>
      <c r="E31" s="21"/>
      <c r="G31" s="171" t="s">
        <v>64</v>
      </c>
      <c r="H31" s="88" t="s">
        <v>54</v>
      </c>
      <c r="I31" s="12"/>
      <c r="J31" s="12"/>
    </row>
    <row r="32" spans="2:10" ht="33.75" x14ac:dyDescent="0.25">
      <c r="B32" s="75" t="s">
        <v>51</v>
      </c>
      <c r="C32" s="77" t="s">
        <v>68</v>
      </c>
      <c r="D32" s="21"/>
      <c r="E32" s="21"/>
      <c r="G32" s="172"/>
      <c r="H32" s="88" t="s">
        <v>72</v>
      </c>
      <c r="I32" s="12"/>
      <c r="J32" s="12"/>
    </row>
    <row r="33" spans="2:10" x14ac:dyDescent="0.25">
      <c r="B33" s="168" t="s">
        <v>64</v>
      </c>
      <c r="C33" s="89" t="s">
        <v>65</v>
      </c>
      <c r="D33" s="29"/>
      <c r="E33" s="29"/>
      <c r="G33" s="172"/>
      <c r="H33" s="88" t="s">
        <v>108</v>
      </c>
      <c r="I33" s="12"/>
      <c r="J33" s="12"/>
    </row>
    <row r="34" spans="2:10" ht="22.5" x14ac:dyDescent="0.25">
      <c r="B34" s="169"/>
      <c r="C34" s="89" t="s">
        <v>66</v>
      </c>
      <c r="D34" s="29"/>
      <c r="E34" s="29"/>
      <c r="G34" s="172"/>
      <c r="H34" s="88" t="s">
        <v>74</v>
      </c>
      <c r="I34" s="12"/>
      <c r="J34" s="12"/>
    </row>
    <row r="35" spans="2:10" x14ac:dyDescent="0.25">
      <c r="B35" s="169"/>
      <c r="C35" s="89" t="s">
        <v>95</v>
      </c>
      <c r="D35" s="31"/>
      <c r="E35" s="31"/>
      <c r="G35" s="173"/>
      <c r="H35" s="88" t="s">
        <v>73</v>
      </c>
      <c r="I35" s="12"/>
      <c r="J35" s="12"/>
    </row>
    <row r="36" spans="2:10" x14ac:dyDescent="0.25">
      <c r="B36" s="170"/>
      <c r="C36" s="90" t="s">
        <v>96</v>
      </c>
      <c r="D36" s="12"/>
      <c r="E36" s="12"/>
      <c r="G36" s="72" t="s">
        <v>90</v>
      </c>
      <c r="H36" s="73" t="s">
        <v>105</v>
      </c>
      <c r="I36" s="12"/>
      <c r="J36" s="12"/>
    </row>
    <row r="37" spans="2:10" x14ac:dyDescent="0.25">
      <c r="B37" s="74" t="s">
        <v>90</v>
      </c>
      <c r="C37" s="80" t="s">
        <v>105</v>
      </c>
      <c r="D37" s="12"/>
      <c r="E37" s="12"/>
    </row>
    <row r="40" spans="2:10" x14ac:dyDescent="0.25">
      <c r="B40" s="159" t="s">
        <v>75</v>
      </c>
      <c r="C40" s="159"/>
      <c r="D40" s="159"/>
      <c r="E40" s="174"/>
      <c r="G40" s="159" t="s">
        <v>76</v>
      </c>
      <c r="H40" s="159"/>
      <c r="I40" s="159"/>
      <c r="J40" s="159"/>
    </row>
    <row r="41" spans="2:10" x14ac:dyDescent="0.25">
      <c r="B41" s="160" t="s">
        <v>62</v>
      </c>
      <c r="C41" s="160"/>
      <c r="D41" s="161" t="str">
        <f>IF(D42="","",IF(OR(D44="NO",D45="NO",D46="NO",D47="NO",D48="NO"),"Elemento validado con novedades","Elemento validado sin novedades"))</f>
        <v/>
      </c>
      <c r="E41" s="161"/>
      <c r="G41" s="160" t="s">
        <v>62</v>
      </c>
      <c r="H41" s="160"/>
      <c r="I41" s="161" t="str">
        <f>IF(I42="","",IF(OR(I44="NO",I45="NO",I46="NO",I47="NO"),"Elemento validado con novedades","Elemento validado sin novedades"))</f>
        <v/>
      </c>
      <c r="J41" s="161"/>
    </row>
    <row r="42" spans="2:10" x14ac:dyDescent="0.25">
      <c r="B42" s="160" t="s">
        <v>49</v>
      </c>
      <c r="C42" s="160"/>
      <c r="D42" s="162"/>
      <c r="E42" s="162"/>
      <c r="G42" s="160" t="s">
        <v>49</v>
      </c>
      <c r="H42" s="160"/>
      <c r="I42" s="162"/>
      <c r="J42" s="162"/>
    </row>
    <row r="43" spans="2:10" x14ac:dyDescent="0.25">
      <c r="B43" s="160" t="s">
        <v>47</v>
      </c>
      <c r="C43" s="160"/>
      <c r="D43" s="70" t="s">
        <v>48</v>
      </c>
      <c r="E43" s="70" t="s">
        <v>20</v>
      </c>
      <c r="G43" s="160" t="s">
        <v>47</v>
      </c>
      <c r="H43" s="160"/>
      <c r="I43" s="70" t="s">
        <v>48</v>
      </c>
      <c r="J43" s="70" t="s">
        <v>20</v>
      </c>
    </row>
    <row r="44" spans="2:10" x14ac:dyDescent="0.25">
      <c r="B44" s="163" t="s">
        <v>85</v>
      </c>
      <c r="C44" s="164"/>
      <c r="D44" s="12"/>
      <c r="E44" s="12"/>
      <c r="G44" s="157" t="s">
        <v>86</v>
      </c>
      <c r="H44" s="157"/>
      <c r="I44" s="12"/>
      <c r="J44" s="12"/>
    </row>
    <row r="45" spans="2:10" ht="45" x14ac:dyDescent="0.25">
      <c r="B45" s="72" t="s">
        <v>45</v>
      </c>
      <c r="C45" s="73" t="s">
        <v>46</v>
      </c>
      <c r="D45" s="71" t="str">
        <f>IFERROR(IF(VLOOKUP("NST - UPS"&amp;D42,'Sabana de Seriales Despachados'!#REF!,3,0)=D42,"SI","NO")," ")</f>
        <v xml:space="preserve"> </v>
      </c>
      <c r="E45" s="12"/>
      <c r="G45" s="72" t="s">
        <v>45</v>
      </c>
      <c r="H45" s="73" t="s">
        <v>46</v>
      </c>
      <c r="I45" s="71" t="str">
        <f>IFERROR(IF(VLOOKUP("NST - KIT DE INGENIERÍA STEM"&amp;I42,'Sabana de Seriales Despachados'!#REF!,3,0)=I42,"SI","NO")," ")</f>
        <v xml:space="preserve"> </v>
      </c>
      <c r="J45" s="12"/>
    </row>
    <row r="46" spans="2:10" ht="33.75" x14ac:dyDescent="0.25">
      <c r="B46" s="72" t="s">
        <v>50</v>
      </c>
      <c r="C46" s="73" t="s">
        <v>107</v>
      </c>
      <c r="D46" s="12"/>
      <c r="E46" s="12"/>
      <c r="G46" s="157" t="s">
        <v>90</v>
      </c>
      <c r="H46" s="73" t="s">
        <v>113</v>
      </c>
      <c r="I46" s="12"/>
      <c r="J46" s="12"/>
    </row>
    <row r="47" spans="2:10" ht="33.75" x14ac:dyDescent="0.25">
      <c r="B47" s="72" t="s">
        <v>51</v>
      </c>
      <c r="C47" s="77" t="s">
        <v>77</v>
      </c>
      <c r="D47" s="12"/>
      <c r="E47" s="12"/>
      <c r="G47" s="157"/>
      <c r="H47" s="73" t="s">
        <v>89</v>
      </c>
      <c r="I47" s="12"/>
      <c r="J47" s="12"/>
    </row>
    <row r="48" spans="2:10" x14ac:dyDescent="0.25">
      <c r="B48" s="74" t="s">
        <v>90</v>
      </c>
      <c r="C48" s="78" t="s">
        <v>105</v>
      </c>
      <c r="D48" s="12"/>
      <c r="E48" s="12"/>
    </row>
    <row r="51" spans="2:10" x14ac:dyDescent="0.25">
      <c r="B51" s="159" t="s">
        <v>91</v>
      </c>
      <c r="C51" s="159"/>
      <c r="D51" s="159"/>
      <c r="E51" s="174"/>
      <c r="G51" s="159" t="s">
        <v>116</v>
      </c>
      <c r="H51" s="159"/>
      <c r="I51" s="159"/>
      <c r="J51" s="159"/>
    </row>
    <row r="52" spans="2:10" x14ac:dyDescent="0.25">
      <c r="B52" s="160" t="s">
        <v>62</v>
      </c>
      <c r="C52" s="160"/>
      <c r="D52" s="161" t="str">
        <f>IF(D53="","",IF(OR(D55="NO",D56="NO",D57="NO",D58="NO",D59="NO",D60="NO",D61="NO",),"Elemento validado con novedades","Elemento validado sin novedades"))</f>
        <v/>
      </c>
      <c r="E52" s="161"/>
      <c r="G52" s="160" t="s">
        <v>62</v>
      </c>
      <c r="H52" s="160"/>
      <c r="I52" s="161" t="str">
        <f>IF(I53="","",IF(OR(I55="NO",I56="NO",I57="NO",I58="NO",I59="NO"),"Elemento validado con novedades","Elemento validado sin novedades"))</f>
        <v/>
      </c>
      <c r="J52" s="161"/>
    </row>
    <row r="53" spans="2:10" x14ac:dyDescent="0.25">
      <c r="B53" s="160" t="s">
        <v>49</v>
      </c>
      <c r="C53" s="160"/>
      <c r="D53" s="162"/>
      <c r="E53" s="162"/>
      <c r="G53" s="160" t="s">
        <v>49</v>
      </c>
      <c r="H53" s="160"/>
      <c r="I53" s="162"/>
      <c r="J53" s="162"/>
    </row>
    <row r="54" spans="2:10" x14ac:dyDescent="0.25">
      <c r="B54" s="160" t="s">
        <v>47</v>
      </c>
      <c r="C54" s="160"/>
      <c r="D54" s="70" t="s">
        <v>48</v>
      </c>
      <c r="E54" s="70" t="s">
        <v>20</v>
      </c>
      <c r="G54" s="160" t="s">
        <v>47</v>
      </c>
      <c r="H54" s="160"/>
      <c r="I54" s="70" t="s">
        <v>48</v>
      </c>
      <c r="J54" s="70" t="s">
        <v>20</v>
      </c>
    </row>
    <row r="55" spans="2:10" x14ac:dyDescent="0.25">
      <c r="B55" s="163" t="s">
        <v>92</v>
      </c>
      <c r="C55" s="164"/>
      <c r="D55" s="12"/>
      <c r="E55" s="12"/>
      <c r="G55" s="163" t="s">
        <v>87</v>
      </c>
      <c r="H55" s="164"/>
      <c r="I55" s="12"/>
      <c r="J55" s="12"/>
    </row>
    <row r="56" spans="2:10" ht="45" x14ac:dyDescent="0.25">
      <c r="B56" s="72" t="s">
        <v>45</v>
      </c>
      <c r="C56" s="73" t="s">
        <v>46</v>
      </c>
      <c r="D56" s="71" t="str">
        <f>IFERROR(IF(VLOOKUP("ROUTER"&amp;D53,'Sabana de Seriales Despachados'!#REF!,3,0)=D53,"SI","NO")," ")</f>
        <v xml:space="preserve"> </v>
      </c>
      <c r="E56" s="12"/>
      <c r="G56" s="72" t="s">
        <v>45</v>
      </c>
      <c r="H56" s="73" t="s">
        <v>46</v>
      </c>
      <c r="I56" s="71" t="str">
        <f>IFERROR(IF(VLOOKUP("NST - SOPORTE MOVIL"&amp;I53,'Sabana de Seriales Despachados'!#REF!,3,0)=I53,"SI","NO")," ")</f>
        <v xml:space="preserve"> </v>
      </c>
      <c r="J56" s="21"/>
    </row>
    <row r="57" spans="2:10" ht="56.25" x14ac:dyDescent="0.25">
      <c r="B57" s="75" t="s">
        <v>50</v>
      </c>
      <c r="C57" s="77" t="s">
        <v>93</v>
      </c>
      <c r="D57" s="21"/>
      <c r="E57" s="21"/>
      <c r="G57" s="75" t="s">
        <v>79</v>
      </c>
      <c r="H57" s="77" t="s">
        <v>78</v>
      </c>
      <c r="I57" s="21"/>
      <c r="J57" s="21"/>
    </row>
    <row r="58" spans="2:10" ht="33.75" x14ac:dyDescent="0.25">
      <c r="B58" s="83" t="s">
        <v>51</v>
      </c>
      <c r="C58" s="84" t="s">
        <v>94</v>
      </c>
      <c r="D58" s="40"/>
      <c r="E58" s="41"/>
      <c r="G58" s="79" t="s">
        <v>51</v>
      </c>
      <c r="H58" s="78" t="s">
        <v>80</v>
      </c>
      <c r="I58" s="29"/>
      <c r="J58" s="29"/>
    </row>
    <row r="59" spans="2:10" x14ac:dyDescent="0.25">
      <c r="B59" s="168" t="s">
        <v>99</v>
      </c>
      <c r="C59" s="89" t="s">
        <v>72</v>
      </c>
      <c r="D59" s="29"/>
      <c r="E59" s="29"/>
      <c r="G59" s="72" t="s">
        <v>90</v>
      </c>
      <c r="H59" s="78" t="s">
        <v>106</v>
      </c>
      <c r="I59" s="29"/>
      <c r="J59" s="30"/>
    </row>
    <row r="60" spans="2:10" x14ac:dyDescent="0.25">
      <c r="B60" s="170"/>
      <c r="C60" s="89" t="s">
        <v>55</v>
      </c>
      <c r="D60" s="29"/>
      <c r="E60" s="29"/>
    </row>
    <row r="61" spans="2:10" x14ac:dyDescent="0.25">
      <c r="B61" s="72" t="s">
        <v>90</v>
      </c>
      <c r="C61" s="78" t="s">
        <v>109</v>
      </c>
      <c r="D61" s="29"/>
      <c r="E61" s="30"/>
    </row>
    <row r="63" spans="2:10" x14ac:dyDescent="0.25">
      <c r="B63" s="159" t="s">
        <v>118</v>
      </c>
      <c r="C63" s="159"/>
      <c r="D63" s="159"/>
      <c r="E63" s="159"/>
      <c r="G63" s="176" t="s">
        <v>128</v>
      </c>
      <c r="H63" s="176"/>
      <c r="I63" s="176"/>
      <c r="J63" s="176"/>
    </row>
    <row r="64" spans="2:10" x14ac:dyDescent="0.25">
      <c r="B64" s="160" t="s">
        <v>62</v>
      </c>
      <c r="C64" s="160"/>
      <c r="D64" s="161" t="str">
        <f>IF(D65="","",IF(OR(D67="NO",D68="NO",D69="NO",D70="NO",D75="NO",D76="NO",#REF!="NO",#REF!="NO",#REF!="NO",#REF!="NO"),"Elemento validado con novedades","Elemento validado sin novedades"))</f>
        <v/>
      </c>
      <c r="E64" s="161"/>
      <c r="G64" s="177" t="s">
        <v>62</v>
      </c>
      <c r="H64" s="177"/>
      <c r="I64" s="178" t="str">
        <f>IF(I65="","",IF(OR(I67="NO",I68="NO",I69="NO",I70="NO",I75="NO",I76="NO",#REF!="NO",#REF!="NO",#REF!="NO",#REF!="NO"),"Elemento validado con novedades","Elemento validado sin novedades"))</f>
        <v/>
      </c>
      <c r="J64" s="178"/>
    </row>
    <row r="65" spans="2:10" x14ac:dyDescent="0.25">
      <c r="B65" s="160" t="s">
        <v>49</v>
      </c>
      <c r="C65" s="160"/>
      <c r="D65" s="162"/>
      <c r="E65" s="162"/>
      <c r="G65" s="177" t="s">
        <v>49</v>
      </c>
      <c r="H65" s="177"/>
      <c r="I65" s="179"/>
      <c r="J65" s="179"/>
    </row>
    <row r="66" spans="2:10" x14ac:dyDescent="0.25">
      <c r="B66" s="160" t="s">
        <v>47</v>
      </c>
      <c r="C66" s="160"/>
      <c r="D66" s="70" t="s">
        <v>48</v>
      </c>
      <c r="E66" s="70" t="s">
        <v>20</v>
      </c>
      <c r="G66" s="177" t="s">
        <v>47</v>
      </c>
      <c r="H66" s="177"/>
      <c r="I66" s="92" t="s">
        <v>48</v>
      </c>
      <c r="J66" s="92" t="s">
        <v>20</v>
      </c>
    </row>
    <row r="67" spans="2:10" x14ac:dyDescent="0.25">
      <c r="B67" s="163" t="s">
        <v>127</v>
      </c>
      <c r="C67" s="164"/>
      <c r="D67" s="12"/>
      <c r="E67" s="12"/>
      <c r="G67" s="175" t="s">
        <v>129</v>
      </c>
      <c r="H67" s="175"/>
      <c r="I67" s="29"/>
      <c r="J67" s="29"/>
    </row>
    <row r="68" spans="2:10" ht="45" x14ac:dyDescent="0.25">
      <c r="B68" s="72" t="s">
        <v>45</v>
      </c>
      <c r="C68" s="73" t="s">
        <v>46</v>
      </c>
      <c r="D68" s="71" t="str">
        <f>IFERROR(IF(VLOOKUP("NST - TABLETA"&amp;D65,'Sabana de Seriales Despachados'!#REF!,3,0)=D65,"SI","NO")," ")</f>
        <v xml:space="preserve"> </v>
      </c>
      <c r="E68" s="12"/>
      <c r="G68" s="79" t="s">
        <v>45</v>
      </c>
      <c r="H68" s="78" t="s">
        <v>46</v>
      </c>
      <c r="I68" s="93" t="str">
        <f>IFERROR(IF(VLOOKUP("NST - TABLETA"&amp;I65,'Sabana de Seriales Despachados'!#REF!,3,0)=I65,"SI","NO")," ")</f>
        <v xml:space="preserve"> </v>
      </c>
      <c r="J68" s="29"/>
    </row>
    <row r="69" spans="2:10" ht="28.5" customHeight="1" x14ac:dyDescent="0.25">
      <c r="B69" s="165" t="s">
        <v>50</v>
      </c>
      <c r="C69" s="73" t="s">
        <v>119</v>
      </c>
      <c r="D69" s="12"/>
      <c r="E69" s="12"/>
      <c r="G69" s="175" t="s">
        <v>50</v>
      </c>
      <c r="H69" s="78" t="s">
        <v>130</v>
      </c>
      <c r="I69" s="29"/>
      <c r="J69" s="29"/>
    </row>
    <row r="70" spans="2:10" ht="33.75" x14ac:dyDescent="0.25">
      <c r="B70" s="166"/>
      <c r="C70" s="73" t="s">
        <v>120</v>
      </c>
      <c r="D70" s="12"/>
      <c r="E70" s="12"/>
      <c r="G70" s="175"/>
      <c r="H70" s="78" t="s">
        <v>120</v>
      </c>
      <c r="I70" s="29"/>
      <c r="J70" s="29"/>
    </row>
    <row r="71" spans="2:10" x14ac:dyDescent="0.25">
      <c r="B71" s="166"/>
      <c r="C71" s="77" t="s">
        <v>122</v>
      </c>
      <c r="D71" s="21"/>
      <c r="E71" s="21"/>
      <c r="G71" s="175"/>
      <c r="H71" s="78" t="s">
        <v>131</v>
      </c>
      <c r="I71" s="29"/>
      <c r="J71" s="29"/>
    </row>
    <row r="72" spans="2:10" x14ac:dyDescent="0.25">
      <c r="B72" s="166"/>
      <c r="C72" s="77" t="s">
        <v>123</v>
      </c>
      <c r="D72" s="21"/>
      <c r="E72" s="21"/>
      <c r="G72" s="175"/>
      <c r="H72" s="78" t="s">
        <v>123</v>
      </c>
      <c r="I72" s="29"/>
      <c r="J72" s="29"/>
    </row>
    <row r="73" spans="2:10" ht="22.5" x14ac:dyDescent="0.25">
      <c r="B73" s="166"/>
      <c r="C73" s="77" t="s">
        <v>124</v>
      </c>
      <c r="D73" s="21"/>
      <c r="E73" s="21"/>
      <c r="G73" s="175"/>
      <c r="H73" s="78" t="s">
        <v>124</v>
      </c>
      <c r="I73" s="29"/>
      <c r="J73" s="29"/>
    </row>
    <row r="74" spans="2:10" x14ac:dyDescent="0.25">
      <c r="B74" s="167"/>
      <c r="C74" s="77" t="s">
        <v>121</v>
      </c>
      <c r="D74" s="21"/>
      <c r="E74" s="21"/>
      <c r="G74" s="175"/>
      <c r="H74" s="78" t="s">
        <v>121</v>
      </c>
      <c r="I74" s="29"/>
      <c r="J74" s="29"/>
    </row>
    <row r="75" spans="2:10" ht="45" x14ac:dyDescent="0.25">
      <c r="B75" s="75" t="s">
        <v>51</v>
      </c>
      <c r="C75" s="77" t="s">
        <v>125</v>
      </c>
      <c r="D75" s="21"/>
      <c r="E75" s="21"/>
      <c r="G75" s="79" t="s">
        <v>51</v>
      </c>
      <c r="H75" s="78" t="s">
        <v>132</v>
      </c>
      <c r="I75" s="29"/>
      <c r="J75" s="29"/>
    </row>
    <row r="76" spans="2:10" ht="34.5" customHeight="1" x14ac:dyDescent="0.25">
      <c r="B76" s="91" t="s">
        <v>64</v>
      </c>
      <c r="C76" s="78" t="s">
        <v>126</v>
      </c>
      <c r="D76" s="29"/>
      <c r="E76" s="29"/>
      <c r="G76" s="79" t="s">
        <v>64</v>
      </c>
      <c r="H76" s="78" t="s">
        <v>126</v>
      </c>
      <c r="I76" s="29"/>
      <c r="J76" s="29"/>
    </row>
  </sheetData>
  <mergeCells count="80">
    <mergeCell ref="G69:G74"/>
    <mergeCell ref="B67:C67"/>
    <mergeCell ref="B69:B74"/>
    <mergeCell ref="G63:J63"/>
    <mergeCell ref="G64:H64"/>
    <mergeCell ref="I64:J64"/>
    <mergeCell ref="G65:H65"/>
    <mergeCell ref="I65:J65"/>
    <mergeCell ref="G66:H66"/>
    <mergeCell ref="G67:H67"/>
    <mergeCell ref="B63:E63"/>
    <mergeCell ref="B64:C64"/>
    <mergeCell ref="D64:E64"/>
    <mergeCell ref="B65:C65"/>
    <mergeCell ref="D65:E65"/>
    <mergeCell ref="B66:C66"/>
    <mergeCell ref="B54:C54"/>
    <mergeCell ref="B55:C55"/>
    <mergeCell ref="B59:B60"/>
    <mergeCell ref="G51:J51"/>
    <mergeCell ref="G52:H52"/>
    <mergeCell ref="I52:J52"/>
    <mergeCell ref="G53:H53"/>
    <mergeCell ref="I53:J53"/>
    <mergeCell ref="G54:H54"/>
    <mergeCell ref="G55:H55"/>
    <mergeCell ref="B51:E51"/>
    <mergeCell ref="B52:C52"/>
    <mergeCell ref="D52:E52"/>
    <mergeCell ref="B53:C53"/>
    <mergeCell ref="D53:E53"/>
    <mergeCell ref="G43:H43"/>
    <mergeCell ref="G44:H44"/>
    <mergeCell ref="B42:C42"/>
    <mergeCell ref="D42:E42"/>
    <mergeCell ref="G46:G47"/>
    <mergeCell ref="G40:J40"/>
    <mergeCell ref="G41:H41"/>
    <mergeCell ref="I41:J41"/>
    <mergeCell ref="G42:H42"/>
    <mergeCell ref="I42:J42"/>
    <mergeCell ref="B40:E40"/>
    <mergeCell ref="B41:C41"/>
    <mergeCell ref="D41:E41"/>
    <mergeCell ref="B43:C43"/>
    <mergeCell ref="B44:C44"/>
    <mergeCell ref="B26:C26"/>
    <mergeCell ref="B27:C27"/>
    <mergeCell ref="B29:B31"/>
    <mergeCell ref="B33:B36"/>
    <mergeCell ref="G23:J23"/>
    <mergeCell ref="G24:H24"/>
    <mergeCell ref="I24:J24"/>
    <mergeCell ref="G25:H25"/>
    <mergeCell ref="I25:J25"/>
    <mergeCell ref="G26:H26"/>
    <mergeCell ref="G27:H27"/>
    <mergeCell ref="G31:G35"/>
    <mergeCell ref="G14:G18"/>
    <mergeCell ref="B23:E23"/>
    <mergeCell ref="B24:C24"/>
    <mergeCell ref="D24:E24"/>
    <mergeCell ref="B25:C25"/>
    <mergeCell ref="D25:E25"/>
    <mergeCell ref="B9:C9"/>
    <mergeCell ref="B11:B12"/>
    <mergeCell ref="B14:B19"/>
    <mergeCell ref="G5:J5"/>
    <mergeCell ref="G6:H6"/>
    <mergeCell ref="I6:J6"/>
    <mergeCell ref="G7:H7"/>
    <mergeCell ref="I7:J7"/>
    <mergeCell ref="G8:H8"/>
    <mergeCell ref="G9:H9"/>
    <mergeCell ref="B5:E5"/>
    <mergeCell ref="B6:C6"/>
    <mergeCell ref="D6:E6"/>
    <mergeCell ref="B7:C7"/>
    <mergeCell ref="D7:E7"/>
    <mergeCell ref="B8:C8"/>
  </mergeCells>
  <dataValidations count="2">
    <dataValidation type="list" allowBlank="1" showInputMessage="1" showErrorMessage="1" sqref="D11:D20 D9 I11:I19 I9 D29:D37 D27 I29:I36 I27 D47:D48 D44 I46:I47 I44 D55 D57:D61 I57:I59 I55 D67 D69:D76 I67 I69:I76" xr:uid="{93A98B42-EE27-41A8-A8FB-2429AAEE9578}">
      <formula1>"SI,NO"</formula1>
    </dataValidation>
    <dataValidation type="list" allowBlank="1" showInputMessage="1" showErrorMessage="1" sqref="D46" xr:uid="{84AEF50F-C80A-4E6B-8F5E-A18912E1ACD8}">
      <formula1>"SI,NO,NO APLICA"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16D2-9CAC-4A90-93E1-A5DE0272A7B6}">
  <dimension ref="A1:F9"/>
  <sheetViews>
    <sheetView showGridLines="0" topLeftCell="B1" zoomScale="115" zoomScaleNormal="115" workbookViewId="0">
      <pane ySplit="1" topLeftCell="A2" activePane="bottomLeft" state="frozen"/>
      <selection pane="bottomLeft" activeCell="F2" sqref="F2"/>
    </sheetView>
  </sheetViews>
  <sheetFormatPr baseColWidth="10" defaultRowHeight="15" x14ac:dyDescent="0.25"/>
  <cols>
    <col min="1" max="1" width="9.42578125" hidden="1" customWidth="1"/>
    <col min="2" max="2" width="26.85546875" bestFit="1" customWidth="1"/>
    <col min="3" max="3" width="19.85546875" style="11" customWidth="1"/>
    <col min="4" max="4" width="26.42578125" style="11" bestFit="1" customWidth="1"/>
    <col min="5" max="5" width="18.5703125" style="11" bestFit="1" customWidth="1"/>
    <col min="6" max="6" width="25.7109375" customWidth="1"/>
    <col min="7" max="7" width="36.5703125" bestFit="1" customWidth="1"/>
  </cols>
  <sheetData>
    <row r="1" spans="1:6" ht="30" x14ac:dyDescent="0.25">
      <c r="B1" s="14" t="s">
        <v>88</v>
      </c>
      <c r="C1" s="14" t="s">
        <v>31</v>
      </c>
      <c r="D1" s="14" t="s">
        <v>32</v>
      </c>
      <c r="E1" s="14" t="s">
        <v>33</v>
      </c>
      <c r="F1" s="15" t="s">
        <v>35</v>
      </c>
    </row>
    <row r="2" spans="1:6" x14ac:dyDescent="0.25">
      <c r="A2" s="45" t="str">
        <f t="shared" ref="A2:A9" si="0">B2&amp;C2</f>
        <v xml:space="preserve"> </v>
      </c>
      <c r="B2" s="17"/>
      <c r="C2" s="46" t="s">
        <v>115</v>
      </c>
      <c r="D2" s="16"/>
      <c r="E2" s="42"/>
      <c r="F2" s="86" t="str">
        <f>IFERROR(IF(C2&lt;&gt;"",IF(Formulario!#REF!=C2,"Serial Validado","Serial no encontrado"),""),"Serial no encontrado")</f>
        <v>Serial no encontrado</v>
      </c>
    </row>
    <row r="3" spans="1:6" x14ac:dyDescent="0.25">
      <c r="A3" s="45" t="str">
        <f t="shared" si="0"/>
        <v xml:space="preserve"> </v>
      </c>
      <c r="B3" s="17"/>
      <c r="C3" s="46" t="s">
        <v>115</v>
      </c>
      <c r="D3" s="16"/>
      <c r="E3" s="42"/>
      <c r="F3" s="86" t="str">
        <f>IFERROR(IF(C3&lt;&gt;"",IF(Formulario!#REF!=C3,"Serial Validado","Serial no encontrado"),""),"Serial no encontrado")</f>
        <v>Serial no encontrado</v>
      </c>
    </row>
    <row r="4" spans="1:6" x14ac:dyDescent="0.25">
      <c r="A4" s="45" t="str">
        <f t="shared" si="0"/>
        <v xml:space="preserve"> </v>
      </c>
      <c r="B4" s="17"/>
      <c r="C4" s="46" t="s">
        <v>115</v>
      </c>
      <c r="D4" s="16"/>
      <c r="E4" s="42"/>
      <c r="F4" s="86" t="str">
        <f>IFERROR(IF(C4&lt;&gt;"",IF(Formulario!#REF!=C4,"Serial Validado","Serial no encontrado"),""),"Serial no encontrado")</f>
        <v>Serial no encontrado</v>
      </c>
    </row>
    <row r="5" spans="1:6" x14ac:dyDescent="0.25">
      <c r="A5" s="45" t="str">
        <f t="shared" si="0"/>
        <v xml:space="preserve"> </v>
      </c>
      <c r="B5" s="17"/>
      <c r="C5" s="46" t="s">
        <v>115</v>
      </c>
      <c r="D5" s="16"/>
      <c r="E5" s="42"/>
      <c r="F5" s="86" t="str">
        <f>IFERROR(IF(C5&lt;&gt;"",IF(Formulario!#REF!=C5,"Serial Validado","Serial no encontrado"),""),"Serial no encontrado")</f>
        <v>Serial no encontrado</v>
      </c>
    </row>
    <row r="6" spans="1:6" x14ac:dyDescent="0.25">
      <c r="A6" s="45" t="str">
        <f t="shared" si="0"/>
        <v xml:space="preserve"> </v>
      </c>
      <c r="B6" s="17"/>
      <c r="C6" s="46" t="s">
        <v>115</v>
      </c>
      <c r="D6" s="16"/>
      <c r="E6" s="42"/>
      <c r="F6" s="86" t="str">
        <f>IFERROR(IF(C6&lt;&gt;"",IF(Formulario!#REF!=C6,"Serial Validado","Serial no encontrado"),""),"Serial no encontrado")</f>
        <v>Serial no encontrado</v>
      </c>
    </row>
    <row r="7" spans="1:6" x14ac:dyDescent="0.25">
      <c r="A7" s="45" t="str">
        <f t="shared" si="0"/>
        <v xml:space="preserve"> </v>
      </c>
      <c r="B7" s="17"/>
      <c r="C7" s="46" t="s">
        <v>115</v>
      </c>
      <c r="D7" s="16"/>
      <c r="E7" s="42"/>
      <c r="F7" s="86" t="str">
        <f>IFERROR(IF(C7&lt;&gt;"",IF(Formulario!#REF!=C7,"Serial Validado","Serial no encontrado"),""),"Serial no encontrado")</f>
        <v>Serial no encontrado</v>
      </c>
    </row>
    <row r="8" spans="1:6" x14ac:dyDescent="0.25">
      <c r="A8" s="45" t="str">
        <f t="shared" si="0"/>
        <v xml:space="preserve"> </v>
      </c>
      <c r="B8" s="17"/>
      <c r="C8" s="46" t="s">
        <v>115</v>
      </c>
      <c r="D8" s="16"/>
      <c r="E8" s="42"/>
      <c r="F8" s="86" t="str">
        <f>IFERROR(IF(C8&lt;&gt;"",IF(Formulario!#REF!=C8,"Serial Validado","Serial no encontrado"),""),"Serial no encontrado")</f>
        <v>Serial no encontrado</v>
      </c>
    </row>
    <row r="9" spans="1:6" x14ac:dyDescent="0.25">
      <c r="A9" s="45" t="str">
        <f t="shared" si="0"/>
        <v xml:space="preserve"> </v>
      </c>
      <c r="B9" s="17"/>
      <c r="C9" s="46" t="s">
        <v>115</v>
      </c>
      <c r="D9" s="16"/>
      <c r="E9" s="42"/>
      <c r="F9" s="86" t="str">
        <f>IFERROR(IF(C9&lt;&gt;"",IF(VLOOKUP(C9,#REF!,1,0)=C9,"Serial Validado","Serial no encontrado"),""),"Serial no encontrado")</f>
        <v>Serial no encontrado</v>
      </c>
    </row>
  </sheetData>
  <autoFilter ref="C1:F1" xr:uid="{B00816D2-9CAC-4A90-93E1-A5DE0272A7B6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2:S113"/>
  <sheetViews>
    <sheetView showGridLines="0" topLeftCell="L1" zoomScale="55" workbookViewId="0">
      <selection activeCell="A13" sqref="A13:S13"/>
    </sheetView>
  </sheetViews>
  <sheetFormatPr baseColWidth="10" defaultColWidth="14.42578125" defaultRowHeight="15" customHeight="1" x14ac:dyDescent="0.25"/>
  <cols>
    <col min="1" max="1" width="8.140625" customWidth="1"/>
    <col min="2" max="2" width="24.42578125" customWidth="1"/>
    <col min="3" max="3" width="18.28515625" customWidth="1"/>
    <col min="4" max="4" width="22.5703125" customWidth="1"/>
    <col min="5" max="5" width="15.7109375" customWidth="1"/>
    <col min="6" max="6" width="26.140625" customWidth="1"/>
    <col min="7" max="7" width="40.7109375" customWidth="1"/>
    <col min="8" max="8" width="32.140625" customWidth="1"/>
    <col min="9" max="9" width="27.7109375" customWidth="1"/>
    <col min="10" max="10" width="25.85546875" customWidth="1"/>
    <col min="11" max="11" width="47.28515625" customWidth="1"/>
    <col min="12" max="12" width="36.7109375" customWidth="1"/>
    <col min="13" max="13" width="42.85546875" customWidth="1"/>
    <col min="14" max="14" width="34.42578125" customWidth="1"/>
    <col min="15" max="16" width="31.28515625" customWidth="1"/>
    <col min="17" max="18" width="34.85546875" customWidth="1"/>
    <col min="19" max="19" width="59.85546875" customWidth="1"/>
  </cols>
  <sheetData>
    <row r="12" spans="1:19" ht="24" customHeight="1" x14ac:dyDescent="0.4">
      <c r="A12" s="1"/>
      <c r="B12" s="2"/>
      <c r="C12" s="2"/>
      <c r="D12" s="2"/>
      <c r="E12" s="2"/>
      <c r="F12" s="2"/>
      <c r="G12" s="3"/>
      <c r="H12" s="4"/>
      <c r="I12" s="180" t="s">
        <v>0</v>
      </c>
      <c r="J12" s="181"/>
      <c r="K12" s="182"/>
      <c r="L12" s="183" t="s">
        <v>1</v>
      </c>
      <c r="M12" s="181"/>
      <c r="N12" s="181"/>
      <c r="O12" s="181"/>
      <c r="P12" s="181"/>
      <c r="Q12" s="182"/>
      <c r="R12" s="5"/>
      <c r="S12" s="6"/>
    </row>
    <row r="13" spans="1:19" ht="14.25" customHeight="1" x14ac:dyDescent="0.25">
      <c r="A13" s="7" t="s">
        <v>2</v>
      </c>
      <c r="B13" s="7" t="s">
        <v>3</v>
      </c>
      <c r="C13" s="7" t="s">
        <v>4</v>
      </c>
      <c r="D13" s="7" t="s">
        <v>5</v>
      </c>
      <c r="E13" s="7" t="s">
        <v>6</v>
      </c>
      <c r="F13" s="7" t="s">
        <v>7</v>
      </c>
      <c r="G13" s="7" t="s">
        <v>8</v>
      </c>
      <c r="H13" s="7" t="s">
        <v>9</v>
      </c>
      <c r="I13" s="8" t="s">
        <v>10</v>
      </c>
      <c r="J13" s="8" t="s">
        <v>11</v>
      </c>
      <c r="K13" s="8" t="s">
        <v>12</v>
      </c>
      <c r="L13" s="7" t="s">
        <v>13</v>
      </c>
      <c r="M13" s="7" t="s">
        <v>14</v>
      </c>
      <c r="N13" s="7" t="s">
        <v>15</v>
      </c>
      <c r="O13" s="7" t="s">
        <v>16</v>
      </c>
      <c r="P13" s="7" t="s">
        <v>17</v>
      </c>
      <c r="Q13" s="7" t="s">
        <v>18</v>
      </c>
      <c r="R13" s="7" t="s">
        <v>19</v>
      </c>
      <c r="S13" s="7" t="s">
        <v>20</v>
      </c>
    </row>
    <row r="14" spans="1:19" ht="60.75" customHeight="1" x14ac:dyDescent="0.25">
      <c r="A14" s="9">
        <v>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58.5" customHeight="1" x14ac:dyDescent="0.25">
      <c r="A15" s="9">
        <v>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59.25" customHeight="1" x14ac:dyDescent="0.25">
      <c r="A16" s="9">
        <v>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58.5" customHeight="1" x14ac:dyDescent="0.25">
      <c r="A17" s="9">
        <v>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58.5" customHeight="1" x14ac:dyDescent="0.25">
      <c r="A18" s="9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58.5" customHeight="1" x14ac:dyDescent="0.25">
      <c r="A19" s="9">
        <v>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58.5" customHeight="1" x14ac:dyDescent="0.25">
      <c r="A20" s="9">
        <v>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58.5" customHeight="1" x14ac:dyDescent="0.25">
      <c r="A21" s="9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58.5" customHeight="1" x14ac:dyDescent="0.25">
      <c r="A22" s="9">
        <v>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58.5" customHeight="1" x14ac:dyDescent="0.25">
      <c r="A23" s="9">
        <v>10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58.5" customHeight="1" x14ac:dyDescent="0.25">
      <c r="A24" s="9">
        <v>11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58.5" customHeight="1" x14ac:dyDescent="0.25">
      <c r="A25" s="9">
        <v>12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58.5" customHeight="1" x14ac:dyDescent="0.25">
      <c r="A26" s="9">
        <v>13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58.5" customHeight="1" x14ac:dyDescent="0.25">
      <c r="A27" s="9">
        <v>14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58.5" customHeight="1" x14ac:dyDescent="0.25">
      <c r="A28" s="9">
        <v>15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58.5" customHeight="1" x14ac:dyDescent="0.25">
      <c r="A29" s="9">
        <v>16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58.5" customHeight="1" x14ac:dyDescent="0.25">
      <c r="A30" s="9">
        <v>17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58.5" customHeight="1" x14ac:dyDescent="0.25">
      <c r="A31" s="9">
        <v>18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58.5" customHeight="1" x14ac:dyDescent="0.25">
      <c r="A32" s="9">
        <v>19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58.5" customHeight="1" x14ac:dyDescent="0.25">
      <c r="A33" s="9">
        <v>20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58.5" customHeight="1" x14ac:dyDescent="0.25">
      <c r="A34" s="9">
        <v>21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58.5" customHeight="1" x14ac:dyDescent="0.25">
      <c r="A35" s="9">
        <v>22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58.5" customHeight="1" x14ac:dyDescent="0.25">
      <c r="A36" s="9">
        <v>23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58.5" customHeight="1" x14ac:dyDescent="0.25">
      <c r="A37" s="9">
        <v>24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58.5" customHeight="1" x14ac:dyDescent="0.25">
      <c r="A38" s="9">
        <v>25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58.5" customHeight="1" x14ac:dyDescent="0.25">
      <c r="A39" s="9">
        <v>26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58.5" customHeight="1" x14ac:dyDescent="0.25">
      <c r="A40" s="9">
        <v>27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58.5" customHeight="1" x14ac:dyDescent="0.25">
      <c r="A41" s="9">
        <v>28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58.5" customHeight="1" x14ac:dyDescent="0.25">
      <c r="A42" s="9">
        <v>29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58.5" customHeight="1" x14ac:dyDescent="0.25">
      <c r="A43" s="9">
        <v>30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ht="58.5" customHeight="1" x14ac:dyDescent="0.25">
      <c r="A44" s="9">
        <v>31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ht="58.5" customHeight="1" x14ac:dyDescent="0.25">
      <c r="A45" s="9">
        <v>32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ht="58.5" customHeight="1" x14ac:dyDescent="0.25">
      <c r="A46" s="9">
        <v>33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ht="58.5" customHeight="1" x14ac:dyDescent="0.25">
      <c r="A47" s="9">
        <v>34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ht="58.5" customHeight="1" x14ac:dyDescent="0.25">
      <c r="A48" s="9">
        <v>35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ht="58.5" customHeight="1" x14ac:dyDescent="0.25">
      <c r="A49" s="9">
        <v>36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ht="58.5" customHeight="1" x14ac:dyDescent="0.25">
      <c r="A50" s="9">
        <v>37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ht="58.5" customHeight="1" x14ac:dyDescent="0.25">
      <c r="A51" s="9">
        <v>38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ht="58.5" customHeight="1" x14ac:dyDescent="0.25">
      <c r="A52" s="9">
        <v>39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ht="58.5" customHeight="1" x14ac:dyDescent="0.25">
      <c r="A53" s="9">
        <v>40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ht="58.5" customHeight="1" x14ac:dyDescent="0.25">
      <c r="A54" s="9">
        <v>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ht="58.5" customHeight="1" x14ac:dyDescent="0.25">
      <c r="A55" s="9">
        <v>42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t="58.5" customHeight="1" x14ac:dyDescent="0.25">
      <c r="A56" s="9">
        <v>43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58.5" customHeight="1" x14ac:dyDescent="0.25">
      <c r="A57" s="9">
        <v>44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ht="58.5" customHeight="1" x14ac:dyDescent="0.25">
      <c r="A58" s="9">
        <v>45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ht="58.5" customHeight="1" x14ac:dyDescent="0.25">
      <c r="A59" s="9">
        <v>46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ht="58.5" customHeight="1" x14ac:dyDescent="0.25">
      <c r="A60" s="9">
        <v>47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58.5" customHeight="1" x14ac:dyDescent="0.25">
      <c r="A61" s="9">
        <v>48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ht="58.5" customHeight="1" x14ac:dyDescent="0.25">
      <c r="A62" s="9">
        <v>49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ht="58.5" customHeight="1" x14ac:dyDescent="0.25">
      <c r="A63" s="9">
        <v>50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ht="58.5" customHeight="1" x14ac:dyDescent="0.25">
      <c r="A64" s="9">
        <v>51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t="58.5" customHeight="1" x14ac:dyDescent="0.25">
      <c r="A65" s="9">
        <v>52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ht="58.5" customHeight="1" x14ac:dyDescent="0.25">
      <c r="A66" s="9">
        <v>53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ht="58.5" customHeight="1" x14ac:dyDescent="0.25">
      <c r="A67" s="9">
        <v>54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ht="58.5" customHeight="1" x14ac:dyDescent="0.25">
      <c r="A68" s="9">
        <v>55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ht="58.5" customHeight="1" x14ac:dyDescent="0.25">
      <c r="A69" s="9">
        <v>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ht="58.5" customHeight="1" x14ac:dyDescent="0.25">
      <c r="A70" s="9">
        <v>57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ht="58.5" customHeight="1" x14ac:dyDescent="0.25">
      <c r="A71" s="9">
        <v>58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ht="58.5" customHeight="1" x14ac:dyDescent="0.25">
      <c r="A72" s="9">
        <v>59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58.5" customHeight="1" x14ac:dyDescent="0.25">
      <c r="A73" s="9">
        <v>60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ht="58.5" customHeight="1" x14ac:dyDescent="0.25">
      <c r="A74" s="9">
        <v>61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58.5" customHeight="1" x14ac:dyDescent="0.25">
      <c r="A75" s="9">
        <v>62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ht="58.5" customHeight="1" x14ac:dyDescent="0.25">
      <c r="A76" s="9">
        <v>63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ht="58.5" customHeight="1" x14ac:dyDescent="0.25">
      <c r="A77" s="9">
        <v>64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ht="58.5" customHeight="1" x14ac:dyDescent="0.25">
      <c r="A78" s="9">
        <v>65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ht="58.5" customHeight="1" x14ac:dyDescent="0.25">
      <c r="A79" s="9">
        <v>66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ht="58.5" customHeight="1" x14ac:dyDescent="0.25">
      <c r="A80" s="9">
        <v>67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ht="58.5" customHeight="1" x14ac:dyDescent="0.25">
      <c r="A81" s="9">
        <v>68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ht="58.5" customHeight="1" x14ac:dyDescent="0.25">
      <c r="A82" s="9">
        <v>69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ht="58.5" customHeight="1" x14ac:dyDescent="0.25">
      <c r="A83" s="9">
        <v>70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ht="58.5" customHeight="1" x14ac:dyDescent="0.25">
      <c r="A84" s="9">
        <v>71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ht="58.5" customHeight="1" x14ac:dyDescent="0.25">
      <c r="A85" s="9">
        <v>72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ht="58.5" customHeight="1" x14ac:dyDescent="0.25">
      <c r="A86" s="9">
        <v>73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ht="58.5" customHeight="1" x14ac:dyDescent="0.25">
      <c r="A87" s="9">
        <v>74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ht="58.5" customHeight="1" x14ac:dyDescent="0.25">
      <c r="A88" s="9">
        <v>75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ht="58.5" customHeight="1" x14ac:dyDescent="0.25">
      <c r="A89" s="9">
        <v>76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ht="58.5" customHeight="1" x14ac:dyDescent="0.25">
      <c r="A90" s="9">
        <v>77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ht="58.5" customHeight="1" x14ac:dyDescent="0.25">
      <c r="A91" s="9">
        <v>78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ht="58.5" customHeight="1" x14ac:dyDescent="0.25">
      <c r="A92" s="9">
        <v>79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ht="58.5" customHeight="1" x14ac:dyDescent="0.25">
      <c r="A93" s="9">
        <v>80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ht="58.5" customHeight="1" x14ac:dyDescent="0.25">
      <c r="A94" s="9">
        <v>81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ht="58.5" customHeight="1" x14ac:dyDescent="0.25">
      <c r="A95" s="9">
        <v>82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ht="58.5" customHeight="1" x14ac:dyDescent="0.25">
      <c r="A96" s="9">
        <v>83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ht="58.5" customHeight="1" x14ac:dyDescent="0.25">
      <c r="A97" s="9">
        <v>84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ht="58.5" customHeight="1" x14ac:dyDescent="0.25">
      <c r="A98" s="9">
        <v>85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ht="58.5" customHeight="1" x14ac:dyDescent="0.25">
      <c r="A99" s="9">
        <v>86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ht="58.5" customHeight="1" x14ac:dyDescent="0.25">
      <c r="A100" s="9">
        <v>87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ht="58.5" customHeight="1" x14ac:dyDescent="0.25">
      <c r="A101" s="9">
        <v>88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ht="58.5" customHeight="1" x14ac:dyDescent="0.25">
      <c r="A102" s="9">
        <v>89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ht="58.5" customHeight="1" x14ac:dyDescent="0.25">
      <c r="A103" s="9">
        <v>90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ht="58.5" customHeight="1" x14ac:dyDescent="0.25">
      <c r="A104" s="9">
        <v>91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ht="58.5" customHeight="1" x14ac:dyDescent="0.25">
      <c r="A105" s="9">
        <v>92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ht="58.5" customHeight="1" x14ac:dyDescent="0.25">
      <c r="A106" s="9">
        <v>93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ht="58.5" customHeight="1" x14ac:dyDescent="0.25">
      <c r="A107" s="9">
        <v>94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ht="58.5" customHeight="1" x14ac:dyDescent="0.25">
      <c r="A108" s="9">
        <v>95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ht="58.5" customHeight="1" x14ac:dyDescent="0.25">
      <c r="A109" s="9">
        <v>96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ht="58.5" customHeight="1" x14ac:dyDescent="0.25">
      <c r="A110" s="9">
        <v>97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ht="58.5" customHeight="1" x14ac:dyDescent="0.25">
      <c r="A111" s="9">
        <v>98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ht="58.5" customHeight="1" x14ac:dyDescent="0.25">
      <c r="A112" s="9">
        <v>99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ht="58.5" customHeight="1" x14ac:dyDescent="0.25">
      <c r="A113" s="9">
        <v>100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</sheetData>
  <mergeCells count="2">
    <mergeCell ref="I12:K12"/>
    <mergeCell ref="L12:Q12"/>
  </mergeCells>
  <dataValidations count="1">
    <dataValidation type="list" allowBlank="1" showErrorMessage="1" sqref="K14:R14 K15:O113 Q15:R113" xr:uid="{00000000-0002-0000-0000-000000000000}">
      <formula1>"Si,No"</formula1>
    </dataValidation>
  </dataValidations>
  <pageMargins left="0.23622047244094491" right="0.23622047244094491" top="0.74803149606299213" bottom="0.74803149606299213" header="0" footer="0"/>
  <pageSetup paperSize="3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Formulario</vt:lpstr>
      <vt:lpstr>Lista Elementos</vt:lpstr>
      <vt:lpstr>Catalogo de Elementos</vt:lpstr>
      <vt:lpstr>Sabana de Seriales Despachados</vt:lpstr>
      <vt:lpstr>Validación Equipos Portatiles</vt:lpstr>
      <vt:lpstr>Formulario!Área_de_impresión</vt:lpstr>
      <vt:lpstr>Formulario!Títulos_a_imprimir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Andres Lozano Caceres</dc:creator>
  <cp:keywords/>
  <dc:description/>
  <cp:lastModifiedBy>Yuby Caterine Bohorquez Rojas</cp:lastModifiedBy>
  <cp:revision/>
  <cp:lastPrinted>2026-09-29T15:34:08Z</cp:lastPrinted>
  <dcterms:created xsi:type="dcterms:W3CDTF">2024-06-21T16:58:23Z</dcterms:created>
  <dcterms:modified xsi:type="dcterms:W3CDTF">2026-10-16T13:21:09Z</dcterms:modified>
  <cp:category/>
  <cp:contentStatus/>
</cp:coreProperties>
</file>